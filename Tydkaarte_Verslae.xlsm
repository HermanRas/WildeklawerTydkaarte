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Projects\Wildeklawer_Tydkaarte\"/>
    </mc:Choice>
  </mc:AlternateContent>
  <xr:revisionPtr revIDLastSave="0" documentId="8_{621D5E9F-00AA-4BFE-A730-F8984B4AA0BB}" xr6:coauthVersionLast="36" xr6:coauthVersionMax="36" xr10:uidLastSave="{00000000-0000-0000-0000-000000000000}"/>
  <bookViews>
    <workbookView xWindow="0" yWindow="0" windowWidth="28800" windowHeight="12225" tabRatio="1000" xr2:uid="{00000000-000D-0000-FFFF-FFFF00000000}"/>
  </bookViews>
  <sheets>
    <sheet name="TUIS" sheetId="8" r:id="rId1"/>
    <sheet name="Kratte" sheetId="5" r:id="rId2"/>
    <sheet name="Werkers" sheetId="4" r:id="rId3"/>
    <sheet name="Gebruikers" sheetId="3" r:id="rId4"/>
    <sheet name="Gewasse" sheetId="10" r:id="rId5"/>
    <sheet name="Plase" sheetId="11" r:id="rId6"/>
    <sheet name="Take" sheetId="12" r:id="rId7"/>
    <sheet name="Spilpunte" sheetId="13" r:id="rId8"/>
    <sheet name="Toegang" sheetId="9" r:id="rId9"/>
    <sheet name="Tydkaarte" sheetId="14" r:id="rId10"/>
    <sheet name="Tyd Per Taak" sheetId="15" r:id="rId11"/>
  </sheets>
  <definedNames>
    <definedName name="ExternalData_1" localSheetId="3" hidden="1">Gebruikers!$A$2:$H$4</definedName>
    <definedName name="ExternalData_1" localSheetId="4" hidden="1">Gewasse!$A$2:$C$6</definedName>
    <definedName name="ExternalData_1" localSheetId="1" hidden="1">Kratte!$A$2:$F$41</definedName>
    <definedName name="ExternalData_1" localSheetId="5" hidden="1">Plase!$A$2:$C$5</definedName>
    <definedName name="ExternalData_1" localSheetId="7" hidden="1">Spilpunte!$A$2:$D$7</definedName>
    <definedName name="ExternalData_1" localSheetId="6" hidden="1">Take!$A$2:$C$6</definedName>
    <definedName name="ExternalData_1" localSheetId="8" hidden="1">Toegang!$A$2:$C$9</definedName>
    <definedName name="ExternalData_1" localSheetId="10" hidden="1">'Tyd Per Taak'!$A$1:$M$80</definedName>
    <definedName name="ExternalData_1" localSheetId="9" hidden="1">Tydkaarte!$A$1:$G$25</definedName>
    <definedName name="ExternalData_1" localSheetId="2" hidden="1">Werkers!$A$2:$D$26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5" l="1"/>
  <c r="M2" i="5"/>
  <c r="J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60" name="Query - Table 0" description="Connection to the 'Table 0' query in the workbook." type="5" refreshedVersion="6" background="1" refreshOnLoad="1" saveData="1">
    <dbPr connection="Provider=Microsoft.Mashup.OleDb.1;Data Source=$Workbook$;Location=Table 0;Extended Properties=&quot;&quot;" command="SELECT * FROM [Table 0]"/>
  </connection>
  <connection id="2" xr16:uid="{00000000-0015-0000-FFFF-FFFF01000000}" keepAlive="1" name="Query - Table 0 (10)" description="Connection to the 'Table 0 (10)' query in the workbook." type="5" refreshedVersion="6" background="1" saveData="1">
    <dbPr connection="Provider=Microsoft.Mashup.OleDb.1;Data Source=$Workbook$;Location=Table 0 (10);Extended Properties=&quot;&quot;" command="SELECT * FROM [Table 0 (10)]"/>
  </connection>
  <connection id="3" xr16:uid="{00000000-0015-0000-FFFF-FFFF02000000}" keepAlive="1" interval="60" name="Query - Table 0 (2)" description="Connection to the 'Table 0 (2)' query in the workbook." type="5" refreshedVersion="6" background="1" refreshOnLoad="1" saveData="1">
    <dbPr connection="Provider=Microsoft.Mashup.OleDb.1;Data Source=$Workbook$;Location=Table 0 (2);Extended Properties=&quot;&quot;" command="SELECT * FROM [Table 0 (2)]"/>
  </connection>
  <connection id="4" xr16:uid="{00000000-0015-0000-FFFF-FFFF03000000}" keepAlive="1" interval="60" name="Query - Table 0 (3)" description="Connection to the 'Table 0 (3)' query in the workbook." type="5" refreshedVersion="6" background="1" refreshOnLoad="1" saveData="1">
    <dbPr connection="Provider=Microsoft.Mashup.OleDb.1;Data Source=$Workbook$;Location=Table 0 (3);Extended Properties=&quot;&quot;" command="SELECT * FROM [Table 0 (3)]"/>
  </connection>
  <connection id="5" xr16:uid="{00000000-0015-0000-FFFF-FFFF04000000}" keepAlive="1" interval="60" name="Query - Table 0 (4)" description="Connection to the 'Table 0 (4)' query in the workbook." type="5" refreshedVersion="6" background="1" refreshOnLoad="1" saveData="1">
    <dbPr connection="Provider=Microsoft.Mashup.OleDb.1;Data Source=$Workbook$;Location=Table 0 (4);Extended Properties=&quot;&quot;" command="SELECT * FROM [Table 0 (4)]"/>
  </connection>
  <connection id="6" xr16:uid="{00000000-0015-0000-FFFF-FFFF05000000}" keepAlive="1" interval="60" name="Query - Table 0 (5)" description="Connection to the 'Table 0 (5)' query in the workbook." type="5" refreshedVersion="6" background="1" refreshOnLoad="1" saveData="1">
    <dbPr connection="Provider=Microsoft.Mashup.OleDb.1;Data Source=$Workbook$;Location=Table 0 (5);Extended Properties=&quot;&quot;" command="SELECT * FROM [Table 0 (5)]"/>
  </connection>
  <connection id="7" xr16:uid="{00000000-0015-0000-FFFF-FFFF06000000}" keepAlive="1" interval="60" name="Query - Table 0 (6)" description="Connection to the 'Table 0 (6)' query in the workbook." type="5" refreshedVersion="6" background="1" refreshOnLoad="1" saveData="1">
    <dbPr connection="Provider=Microsoft.Mashup.OleDb.1;Data Source=$Workbook$;Location=Table 0 (6);Extended Properties=&quot;&quot;" command="SELECT * FROM [Table 0 (6)]"/>
  </connection>
  <connection id="8" xr16:uid="{00000000-0015-0000-FFFF-FFFF07000000}" keepAlive="1" interval="60" name="Query - Table 0 (7)" description="Connection to the 'Table 0 (7)' query in the workbook." type="5" refreshedVersion="6" background="1" refreshOnLoad="1" saveData="1">
    <dbPr connection="Provider=Microsoft.Mashup.OleDb.1;Data Source=$Workbook$;Location=Table 0 (7);Extended Properties=&quot;&quot;" command="SELECT * FROM [Table 0 (7)]"/>
  </connection>
  <connection id="9" xr16:uid="{00000000-0015-0000-FFFF-FFFF08000000}" keepAlive="1" interval="60" name="Query - Table 0 (8)" description="Connection to the 'Table 0 (8)' query in the workbook." type="5" refreshedVersion="6" background="1" refreshOnLoad="1" saveData="1">
    <dbPr connection="Provider=Microsoft.Mashup.OleDb.1;Data Source=$Workbook$;Location=Table 0 (8);Extended Properties=&quot;&quot;" command="SELECT * FROM [Table 0 (8)]"/>
  </connection>
  <connection id="10" xr16:uid="{00000000-0015-0000-FFFF-FFFF09000000}" keepAlive="1" name="Query - Table 0 (9)" description="Connection to the 'Table 0 (9)' query in the workbook." type="5" refreshedVersion="6" background="1" saveData="1">
    <dbPr connection="Provider=Microsoft.Mashup.OleDb.1;Data Source=$Workbook$;Location=Table 0 (9);Extended Properties=&quot;&quot;" command="SELECT * FROM [Table 0 (9)]"/>
  </connection>
</connections>
</file>

<file path=xl/sharedStrings.xml><?xml version="1.0" encoding="utf-8"?>
<sst xmlns="http://schemas.openxmlformats.org/spreadsheetml/2006/main" count="834" uniqueCount="142">
  <si>
    <t>naam</t>
  </si>
  <si>
    <t>van</t>
  </si>
  <si>
    <t>CN</t>
  </si>
  <si>
    <t>admin</t>
  </si>
  <si>
    <t>system</t>
  </si>
  <si>
    <t>System Admin</t>
  </si>
  <si>
    <t>worker</t>
  </si>
  <si>
    <t>User Admin</t>
  </si>
  <si>
    <t>Herman</t>
  </si>
  <si>
    <t>Ras</t>
  </si>
  <si>
    <t>Jako</t>
  </si>
  <si>
    <t>Fourie</t>
  </si>
  <si>
    <t>Pieter</t>
  </si>
  <si>
    <t>Russouw</t>
  </si>
  <si>
    <t>Louis</t>
  </si>
  <si>
    <t>De Kock</t>
  </si>
  <si>
    <t>Carin</t>
  </si>
  <si>
    <t>Oes</t>
  </si>
  <si>
    <t>managerNaam</t>
  </si>
  <si>
    <t>managerVan</t>
  </si>
  <si>
    <t>plaasNaam</t>
  </si>
  <si>
    <t>spilpuntNaam</t>
  </si>
  <si>
    <t>taakNaam</t>
  </si>
  <si>
    <t>MinutesOnClock</t>
  </si>
  <si>
    <t>inDate</t>
  </si>
  <si>
    <t>inTime</t>
  </si>
  <si>
    <t>outDate</t>
  </si>
  <si>
    <t>outTime</t>
  </si>
  <si>
    <t>-00:01:00</t>
  </si>
  <si>
    <t>Algemeen</t>
  </si>
  <si>
    <t>-04:06:00</t>
  </si>
  <si>
    <t>-00:02:00</t>
  </si>
  <si>
    <t>00:00:00</t>
  </si>
  <si>
    <t>-00:03:00</t>
  </si>
  <si>
    <t>-01:36:00</t>
  </si>
  <si>
    <t>-00:54:00</t>
  </si>
  <si>
    <t>Skoffel</t>
  </si>
  <si>
    <t>03:20:00</t>
  </si>
  <si>
    <t>-00:04:00</t>
  </si>
  <si>
    <t>Plant</t>
  </si>
  <si>
    <t>00:51:00</t>
  </si>
  <si>
    <t>-01:22:00</t>
  </si>
  <si>
    <t>-04:44:00</t>
  </si>
  <si>
    <t>-02:29:00</t>
  </si>
  <si>
    <t>-02:28:00</t>
  </si>
  <si>
    <t>06:20:00</t>
  </si>
  <si>
    <t>06:21:00</t>
  </si>
  <si>
    <t>-00:32:00</t>
  </si>
  <si>
    <t>-00:26:00</t>
  </si>
  <si>
    <t>-00:24:00</t>
  </si>
  <si>
    <t>-03:12:00</t>
  </si>
  <si>
    <t>Spilpunt 2</t>
  </si>
  <si>
    <t>ID</t>
  </si>
  <si>
    <t>Guest</t>
  </si>
  <si>
    <t>2</t>
  </si>
  <si>
    <t>3</t>
  </si>
  <si>
    <t>5</t>
  </si>
  <si>
    <t>6</t>
  </si>
  <si>
    <t>Uie</t>
  </si>
  <si>
    <t>Aartappels</t>
  </si>
  <si>
    <t>Wortels</t>
  </si>
  <si>
    <t>Beet</t>
  </si>
  <si>
    <t>WK</t>
  </si>
  <si>
    <t>DeBron</t>
  </si>
  <si>
    <t>DB</t>
  </si>
  <si>
    <t>Romance</t>
  </si>
  <si>
    <t>RM</t>
  </si>
  <si>
    <t>Spilpunt 3</t>
  </si>
  <si>
    <t>SP3</t>
  </si>
  <si>
    <t>SP2</t>
  </si>
  <si>
    <t>SP4</t>
  </si>
  <si>
    <t>Spilpunt 5</t>
  </si>
  <si>
    <t>SP5</t>
  </si>
  <si>
    <t>Spilpunt 6</t>
  </si>
  <si>
    <t>SP6</t>
  </si>
  <si>
    <t>TUIS</t>
  </si>
  <si>
    <t>Tydkaarte</t>
  </si>
  <si>
    <t>Gewasse</t>
  </si>
  <si>
    <t>Tyd Per Taak</t>
  </si>
  <si>
    <t>Werkers</t>
  </si>
  <si>
    <t>Gebruikers</t>
  </si>
  <si>
    <t>Plase</t>
  </si>
  <si>
    <t>Take</t>
  </si>
  <si>
    <t>Spilpunte</t>
  </si>
  <si>
    <t>Toegang</t>
  </si>
  <si>
    <t>Totaal Kratte</t>
  </si>
  <si>
    <t>Blaaubank</t>
  </si>
  <si>
    <t>Company #</t>
  </si>
  <si>
    <t>Kratte</t>
  </si>
  <si>
    <t>Datum</t>
  </si>
  <si>
    <t>Naam</t>
  </si>
  <si>
    <t>Afkorting</t>
  </si>
  <si>
    <t>Van</t>
  </si>
  <si>
    <t>Taak</t>
  </si>
  <si>
    <t>Volle Naam</t>
  </si>
  <si>
    <t>Plaas Naam</t>
  </si>
  <si>
    <t>Plaas Afkorting</t>
  </si>
  <si>
    <t>Naam Afkorting</t>
  </si>
  <si>
    <t>Plaas ID</t>
  </si>
  <si>
    <t>Beskrywing</t>
  </si>
  <si>
    <t>test</t>
  </si>
  <si>
    <t>1</t>
  </si>
  <si>
    <t>4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</si>
  <si>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</si>
  <si>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</si>
  <si>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</si>
  <si>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</si>
  <si>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</si>
  <si>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</si>
  <si>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</si>
  <si>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</si>
  <si>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</si>
  <si>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</si>
  <si>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</si>
  <si>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</si>
  <si>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</si>
  <si>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van Tonder</t>
  </si>
  <si>
    <t>Spilpunt 4</t>
  </si>
  <si>
    <t>TimeWorked</t>
  </si>
  <si>
    <t>Date</t>
  </si>
  <si>
    <t>manager naam</t>
  </si>
  <si>
    <t>manager van</t>
  </si>
  <si>
    <t>-04:09:00</t>
  </si>
  <si>
    <t>-01:45:00</t>
  </si>
  <si>
    <t>03:12:00</t>
  </si>
  <si>
    <t>-10:01:00</t>
  </si>
  <si>
    <t>-06:07:00</t>
  </si>
  <si>
    <t>24:21:00</t>
  </si>
  <si>
    <t>-03:15:00</t>
  </si>
  <si>
    <t>-00:28:00</t>
  </si>
  <si>
    <t>-00:35:00</t>
  </si>
  <si>
    <t>-04:04:00</t>
  </si>
  <si>
    <t>-03:06:00</t>
  </si>
  <si>
    <t>01:24:00</t>
  </si>
  <si>
    <t>02:32:00</t>
  </si>
  <si>
    <t>-00:31:00</t>
  </si>
  <si>
    <t>-00:14:00</t>
  </si>
  <si>
    <t>-00:10:00</t>
  </si>
  <si>
    <t>00:58:00</t>
  </si>
  <si>
    <t>-00:07:00</t>
  </si>
  <si>
    <t>-00:06:00</t>
  </si>
  <si>
    <t>-00:18:00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</si>
</sst>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2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2" fillId="0" borderId="0" xfId="1" applyFont="1" applyAlignment="1">
      <alignment horizontal="center"/>
    </xf>
    <xf numFmtId="0" fontId="4" fillId="0" borderId="0" xfId="0" applyFont="1"/>
    <xf numFmtId="0" fontId="3" fillId="0" borderId="0" xfId="0" applyFont="1" applyBorder="1" applyAlignment="1">
      <alignment vertical="center" wrapText="1"/>
    </xf>
    <xf numFmtId="0" fontId="4" fillId="0" borderId="0" xfId="0" applyFont="1" applyBorder="1"/>
    <xf numFmtId="0" fontId="3" fillId="0" borderId="0" xfId="0" applyFont="1"/>
    <xf numFmtId="0" fontId="2" fillId="0" borderId="1" xfId="1" applyFont="1" applyBorder="1" applyAlignment="1">
      <alignment horizontal="center" vertical="center"/>
    </xf>
    <xf numFmtId="0" fontId="2" fillId="0" borderId="1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10" fillId="0" borderId="0" xfId="0" applyFont="1" applyFill="1"/>
    <xf numFmtId="0" fontId="7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 vertical="center"/>
    </xf>
    <xf numFmtId="1" fontId="9" fillId="2" borderId="1" xfId="1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yyyy/mm/dd"/>
    </dxf>
    <dxf>
      <numFmt numFmtId="164" formatCode="[$-F400]h:mm:ss\ AM/PM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0</xdr:row>
      <xdr:rowOff>68580</xdr:rowOff>
    </xdr:from>
    <xdr:to>
      <xdr:col>5</xdr:col>
      <xdr:colOff>960120</xdr:colOff>
      <xdr:row>5</xdr:row>
      <xdr:rowOff>327216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420" y="68580"/>
          <a:ext cx="2979420" cy="11730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16</xdr:row>
          <xdr:rowOff>19050</xdr:rowOff>
        </xdr:from>
        <xdr:to>
          <xdr:col>5</xdr:col>
          <xdr:colOff>819150</xdr:colOff>
          <xdr:row>17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20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Verfris Inligting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00000000-0016-0000-0100-000000000000}" autoFormatId="16" applyNumberFormats="0" applyBorderFormats="0" applyFontFormats="0" applyPatternFormats="0" applyAlignmentFormats="0" applyWidthHeightFormats="0">
  <queryTableRefresh nextId="11">
    <queryTableFields count="6">
      <queryTableField id="7" name="Datum" tableColumnId="1"/>
      <queryTableField id="2" name="naam" tableColumnId="2"/>
      <queryTableField id="3" name="van" tableColumnId="3"/>
      <queryTableField id="4" name="CN" tableColumnId="4"/>
      <queryTableField id="8" name="Kratte" tableColumnId="5"/>
      <queryTableField id="9" name="Taak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00000000-0016-0000-02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am" tableColumnId="2"/>
      <queryTableField id="3" name="van" tableColumnId="3"/>
      <queryTableField id="4" name="CN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300-000002000000}" autoFormatId="16" applyNumberFormats="0" applyBorderFormats="0" applyFontFormats="0" applyPatternFormats="0" applyAlignmentFormats="0" applyWidthHeightFormats="0">
  <queryTableRefresh nextId="17">
    <queryTableFields count="8">
      <queryTableField id="1" name="id" tableColumnId="1"/>
      <queryTableField id="2" name="naam" tableColumnId="2"/>
      <queryTableField id="3" name="van" tableColumnId="3"/>
      <queryTableField id="4" name="CN" tableColumnId="4"/>
      <queryTableField id="12" name="Plaas Naam" tableColumnId="9"/>
      <queryTableField id="13" name="Plaas Afkorting" tableColumnId="10"/>
      <queryTableField id="10" name="Volle Naam" tableColumnId="7"/>
      <queryTableField id="16" name="Naam Afkorting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00000000-0016-0000-0400-000003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00000000-0016-0000-0500-000004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8" xr16:uid="{00000000-0016-0000-0600-000005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9" xr16:uid="{00000000-0016-0000-0700-000006000000}" autoFormatId="16" applyNumberFormats="0" applyBorderFormats="0" applyFontFormats="0" applyPatternFormats="0" applyAlignmentFormats="0" applyWidthHeightFormats="0">
  <queryTableRefresh nextId="7">
    <queryTableFields count="4">
      <queryTableField id="1" name="ID" tableColumnId="1"/>
      <queryTableField id="2" name="naam" tableColumnId="2"/>
      <queryTableField id="3" name="afkorting" tableColumnId="3"/>
      <queryTableField id="6" name="Plaas ID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00000000-0016-0000-0800-00000700000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beskrywing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0000000-0016-0000-0900-000008000000}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TimeWorked" tableColumnId="1"/>
      <queryTableField id="2" name="Date" tableColumnId="2"/>
      <queryTableField id="3" name="naam" tableColumnId="3"/>
      <queryTableField id="4" name="van" tableColumnId="4"/>
      <queryTableField id="5" name="CN" tableColumnId="5"/>
      <queryTableField id="6" name="manager naam" tableColumnId="6"/>
      <queryTableField id="7" name="manager van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A00-000009000000}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MinutesOnClock" tableColumnId="1"/>
      <queryTableField id="2" name="inDate" tableColumnId="2"/>
      <queryTableField id="3" name="inTime" tableColumnId="3"/>
      <queryTableField id="4" name="outDate" tableColumnId="4"/>
      <queryTableField id="5" name="outTime" tableColumnId="5"/>
      <queryTableField id="6" name="naam" tableColumnId="6"/>
      <queryTableField id="7" name="van" tableColumnId="7"/>
      <queryTableField id="8" name="CN" tableColumnId="8"/>
      <queryTableField id="9" name="managerNaam" tableColumnId="9"/>
      <queryTableField id="10" name="managerVan" tableColumnId="10"/>
      <queryTableField id="11" name="plaasNaam" tableColumnId="11"/>
      <queryTableField id="12" name="spilpuntNaam" tableColumnId="12"/>
      <queryTableField id="13" name="taakNaam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0__3" displayName="Table_0__3" ref="A2:F41" tableType="queryTable" totalsRowShown="0">
  <autoFilter ref="A2:F41" xr:uid="{00000000-0009-0000-0100-000004000000}"/>
  <tableColumns count="6">
    <tableColumn id="1" xr3:uid="{00000000-0010-0000-0000-000001000000}" uniqueName="1" name="Datum" queryTableFieldId="7" dataDxfId="21"/>
    <tableColumn id="2" xr3:uid="{00000000-0010-0000-0000-000002000000}" uniqueName="2" name="Naam" queryTableFieldId="2" dataDxfId="20"/>
    <tableColumn id="3" xr3:uid="{00000000-0010-0000-0000-000003000000}" uniqueName="3" name="Van" queryTableFieldId="3" dataDxfId="19"/>
    <tableColumn id="4" xr3:uid="{00000000-0010-0000-0000-000004000000}" uniqueName="4" name="CN" queryTableFieldId="4"/>
    <tableColumn id="5" xr3:uid="{00000000-0010-0000-0000-000005000000}" uniqueName="5" name="Kratte" queryTableFieldId="8"/>
    <tableColumn id="6" xr3:uid="{00000000-0010-0000-0000-000006000000}" uniqueName="6" name="Taak" queryTableFieldId="9" dataDxf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0__2" displayName="Table_0__2" ref="A2:D26" tableType="queryTable" totalsRowShown="0">
  <autoFilter ref="A2:D26" xr:uid="{00000000-0009-0000-0100-000003000000}"/>
  <tableColumns count="4">
    <tableColumn id="1" xr3:uid="{00000000-0010-0000-0100-000001000000}" uniqueName="1" name="ID" queryTableFieldId="1"/>
    <tableColumn id="2" xr3:uid="{00000000-0010-0000-0100-000002000000}" uniqueName="2" name="Naam" queryTableFieldId="2" dataDxfId="17"/>
    <tableColumn id="3" xr3:uid="{00000000-0010-0000-0100-000003000000}" uniqueName="3" name="Van" queryTableFieldId="3" dataDxfId="16"/>
    <tableColumn id="4" xr3:uid="{00000000-0010-0000-0100-000004000000}" uniqueName="4" name="C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2:H4" tableType="queryTable" totalsRowShown="0">
  <autoFilter ref="A2:H4" xr:uid="{00000000-0009-0000-0100-000002000000}"/>
  <tableColumns count="8">
    <tableColumn id="1" xr3:uid="{00000000-0010-0000-0200-000001000000}" uniqueName="1" name="ID" queryTableFieldId="1"/>
    <tableColumn id="2" xr3:uid="{00000000-0010-0000-0200-000002000000}" uniqueName="2" name="Naam" queryTableFieldId="2" dataDxfId="15"/>
    <tableColumn id="3" xr3:uid="{00000000-0010-0000-0200-000003000000}" uniqueName="3" name="Van" queryTableFieldId="3" dataDxfId="14"/>
    <tableColumn id="4" xr3:uid="{00000000-0010-0000-0200-000004000000}" uniqueName="4" name="CN" queryTableFieldId="4"/>
    <tableColumn id="9" xr3:uid="{00000000-0010-0000-0200-000009000000}" uniqueName="9" name="Plaas Naam" queryTableFieldId="12" dataDxfId="13"/>
    <tableColumn id="10" xr3:uid="{00000000-0010-0000-0200-00000A000000}" uniqueName="10" name="Plaas Afkorting" queryTableFieldId="13" dataDxfId="12"/>
    <tableColumn id="7" xr3:uid="{00000000-0010-0000-0200-000007000000}" uniqueName="7" name="Volle Naam" queryTableFieldId="10" dataDxfId="11"/>
    <tableColumn id="11" xr3:uid="{00000000-0010-0000-0200-00000B000000}" uniqueName="11" name="Naam Afkorting" queryTableFieldId="16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e_0__7" displayName="Table_0__7" ref="A2:C6" tableType="queryTable" totalsRowShown="0">
  <autoFilter ref="A2:C6" xr:uid="{00000000-0009-0000-0100-000007000000}"/>
  <tableColumns count="3">
    <tableColumn id="1" xr3:uid="{00000000-0010-0000-0300-000001000000}" uniqueName="1" name="ID" queryTableFieldId="1"/>
    <tableColumn id="2" xr3:uid="{00000000-0010-0000-0300-000002000000}" uniqueName="2" name="Naam" queryTableFieldId="2" dataDxfId="9"/>
    <tableColumn id="3" xr3:uid="{00000000-0010-0000-0300-000003000000}" uniqueName="3" name="Afkorting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e_0__8" displayName="Table_0__8" ref="A2:C5" tableType="queryTable" totalsRowShown="0">
  <autoFilter ref="A2:C5" xr:uid="{00000000-0009-0000-0100-000008000000}"/>
  <tableColumns count="3">
    <tableColumn id="1" xr3:uid="{00000000-0010-0000-0400-000001000000}" uniqueName="1" name="ID" queryTableFieldId="1"/>
    <tableColumn id="2" xr3:uid="{00000000-0010-0000-0400-000002000000}" uniqueName="2" name="Naam" queryTableFieldId="2" dataDxfId="7"/>
    <tableColumn id="3" xr3:uid="{00000000-0010-0000-0400-000003000000}" uniqueName="3" name="Afkorting" queryTableFieldId="3" dataDxf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le_0__9" displayName="Table_0__9" ref="A2:C6" tableType="queryTable" totalsRowShown="0">
  <autoFilter ref="A2:C6" xr:uid="{00000000-0009-0000-0100-000009000000}"/>
  <tableColumns count="3">
    <tableColumn id="1" xr3:uid="{00000000-0010-0000-0500-000001000000}" uniqueName="1" name="ID" queryTableFieldId="1"/>
    <tableColumn id="2" xr3:uid="{00000000-0010-0000-0500-000002000000}" uniqueName="2" name="Naam" queryTableFieldId="2" dataDxfId="5"/>
    <tableColumn id="3" xr3:uid="{00000000-0010-0000-0500-000003000000}" uniqueName="3" name="Afkorting" queryTableFieldId="3" dataDxfId="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_0__10" displayName="Table_0__10" ref="A2:D7" tableType="queryTable" totalsRowShown="0">
  <autoFilter ref="A2:D7" xr:uid="{00000000-0009-0000-0100-00000A000000}"/>
  <tableColumns count="4">
    <tableColumn id="1" xr3:uid="{00000000-0010-0000-0600-000001000000}" uniqueName="1" name="ID" queryTableFieldId="1"/>
    <tableColumn id="2" xr3:uid="{00000000-0010-0000-0600-000002000000}" uniqueName="2" name="Naam" queryTableFieldId="2" dataDxfId="3"/>
    <tableColumn id="3" xr3:uid="{00000000-0010-0000-0600-000003000000}" uniqueName="3" name="Afkorting" queryTableFieldId="3" dataDxfId="2"/>
    <tableColumn id="5" xr3:uid="{00000000-0010-0000-0600-000005000000}" uniqueName="5" name="Plaas ID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le_0__6" displayName="Table_0__6" ref="A2:C9" tableType="queryTable" totalsRowShown="0">
  <autoFilter ref="A2:C9" xr:uid="{00000000-0009-0000-0100-000001000000}"/>
  <tableColumns count="3">
    <tableColumn id="1" xr3:uid="{00000000-0010-0000-0700-000001000000}" uniqueName="1" name="ID" queryTableFieldId="1"/>
    <tableColumn id="2" xr3:uid="{00000000-0010-0000-0700-000002000000}" uniqueName="2" name="Naam" queryTableFieldId="2" dataDxfId="1"/>
    <tableColumn id="3" xr3:uid="{00000000-0010-0000-0700-000003000000}" uniqueName="3" name="Beskrywing" queryTableFieldId="3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_0__11" displayName="Table_0__11" ref="A1:G25" tableType="queryTable" totalsRowShown="0">
  <autoFilter ref="A1:G25" xr:uid="{BD614F28-038F-4DD6-8786-1D4D72F9921B}"/>
  <tableColumns count="7">
    <tableColumn id="1" xr3:uid="{709E4D52-757C-4073-8030-A2D9EB05478C}" uniqueName="1" name="TimeWorked" queryTableFieldId="1" dataDxfId="41"/>
    <tableColumn id="2" xr3:uid="{0719053F-0CFD-45A5-BC7F-918B39E1222F}" uniqueName="2" name="Date" queryTableFieldId="2" dataDxfId="40"/>
    <tableColumn id="3" xr3:uid="{31CD1B5F-BEAA-4903-9DFF-3B918D2D6C18}" uniqueName="3" name="naam" queryTableFieldId="3" dataDxfId="39"/>
    <tableColumn id="4" xr3:uid="{0F00932C-CF2C-4D71-8FAA-E508A2EE37BD}" uniqueName="4" name="van" queryTableFieldId="4" dataDxfId="38"/>
    <tableColumn id="5" xr3:uid="{03167016-7230-4932-AA84-81D21B0268D9}" uniqueName="5" name="CN" queryTableFieldId="5" dataDxfId="37"/>
    <tableColumn id="6" xr3:uid="{922108E4-8ABB-4CAF-ABAC-3BBA5DBA14F2}" uniqueName="6" name="manager naam" queryTableFieldId="6" dataDxfId="36"/>
    <tableColumn id="7" xr3:uid="{6CB7952C-F1FA-4C07-812B-0643A7CBB917}" uniqueName="7" name="manager van" queryTableFieldId="7" dataDxfId="3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e_0__12" displayName="Table_0__12" ref="A1:M80" tableType="queryTable" totalsRowShown="0">
  <autoFilter ref="A1:M80" xr:uid="{311EB7DB-3C7D-493A-9F9A-7B310685030F}"/>
  <tableColumns count="13">
    <tableColumn id="1" xr3:uid="{44E2CAB6-29DB-4111-A03E-72428336EF08}" uniqueName="1" name="MinutesOnClock" queryTableFieldId="1" dataDxfId="34"/>
    <tableColumn id="2" xr3:uid="{41F61FB3-EC32-4A25-BDA3-0E0D4715FD4E}" uniqueName="2" name="inDate" queryTableFieldId="2" dataDxfId="33"/>
    <tableColumn id="3" xr3:uid="{C446E7BB-1B37-4F18-9475-E60AEF7D52A2}" uniqueName="3" name="inTime" queryTableFieldId="3" dataDxfId="32"/>
    <tableColumn id="4" xr3:uid="{40E92B3A-629B-40F6-8DE7-315BB3043D0A}" uniqueName="4" name="outDate" queryTableFieldId="4" dataDxfId="31"/>
    <tableColumn id="5" xr3:uid="{5A9F4CC9-C433-4119-9A4F-2E895E050D4B}" uniqueName="5" name="outTime" queryTableFieldId="5" dataDxfId="30"/>
    <tableColumn id="6" xr3:uid="{CC97A4A3-6BA5-495F-A9AD-3A7083356EA4}" uniqueName="6" name="naam" queryTableFieldId="6" dataDxfId="29"/>
    <tableColumn id="7" xr3:uid="{FE142522-56A9-48D6-9808-46FB27C4D744}" uniqueName="7" name="van" queryTableFieldId="7" dataDxfId="28"/>
    <tableColumn id="8" xr3:uid="{6884D0A4-83E6-4464-9707-F11357D774BB}" uniqueName="8" name="CN" queryTableFieldId="8" dataDxfId="27"/>
    <tableColumn id="9" xr3:uid="{D2197A1A-5401-42FC-ACAC-88894173ED9A}" uniqueName="9" name="managerNaam" queryTableFieldId="9" dataDxfId="26"/>
    <tableColumn id="10" xr3:uid="{067E8B20-C05D-4C1D-961A-33525408FD8C}" uniqueName="10" name="managerVan" queryTableFieldId="10" dataDxfId="25"/>
    <tableColumn id="11" xr3:uid="{CEAC1A9A-2236-4AD4-ADAA-DE898B44AE66}" uniqueName="11" name="plaasNaam" queryTableFieldId="11" dataDxfId="24"/>
    <tableColumn id="12" xr3:uid="{0401D824-7AF0-44E3-9DDC-78CD33580C30}" uniqueName="12" name="spilpuntNaam" queryTableFieldId="12" dataDxfId="23"/>
    <tableColumn id="13" xr3:uid="{A922C737-DC27-4395-92BF-E49E11C9058D}" uniqueName="13" name="taakNaam" queryTableFieldId="13" dataDxfId="2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xceljet.net/excel-functions/excel-sumifs-function" TargetMode="External"/><Relationship Id="rId1" Type="http://schemas.openxmlformats.org/officeDocument/2006/relationships/hyperlink" Target="https://exceljet.net/excel-functions/excel-sumifs-function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H20"/>
  <sheetViews>
    <sheetView showGridLines="0" tabSelected="1" workbookViewId="0"/>
  </sheetViews>
  <sheetFormatPr defaultRowHeight="15" x14ac:dyDescent="0.25"/>
  <cols>
    <col min="1" max="1" width="7.28515625" customWidth="1"/>
    <col min="2" max="2" width="14.85546875" bestFit="1" customWidth="1"/>
    <col min="3" max="3" width="19.28515625" bestFit="1" customWidth="1"/>
    <col min="5" max="5" width="5.28515625" customWidth="1"/>
    <col min="6" max="6" width="19.28515625" customWidth="1"/>
  </cols>
  <sheetData>
    <row r="5" spans="1:8" ht="14.45" customHeight="1" x14ac:dyDescent="0.35">
      <c r="A5" s="5"/>
      <c r="B5" s="6"/>
      <c r="C5" s="6"/>
      <c r="D5" s="6"/>
      <c r="E5" s="6"/>
      <c r="F5" s="7"/>
      <c r="G5" s="5"/>
    </row>
    <row r="6" spans="1:8" ht="29.45" customHeight="1" thickBot="1" x14ac:dyDescent="0.4">
      <c r="B6" s="8"/>
      <c r="C6" s="8"/>
      <c r="D6" s="8"/>
      <c r="E6" s="8"/>
      <c r="F6" s="8"/>
      <c r="G6" s="8"/>
      <c r="H6" s="8"/>
    </row>
    <row r="7" spans="1:8" s="12" customFormat="1" ht="25.9" customHeight="1" thickBot="1" x14ac:dyDescent="0.3">
      <c r="B7" s="13"/>
      <c r="C7" s="9" t="s">
        <v>76</v>
      </c>
      <c r="D7" s="13"/>
      <c r="E7" s="13"/>
      <c r="F7" s="9" t="s">
        <v>77</v>
      </c>
      <c r="G7" s="13"/>
      <c r="H7" s="13"/>
    </row>
    <row r="8" spans="1:8" s="12" customFormat="1" ht="25.9" customHeight="1" thickBot="1" x14ac:dyDescent="0.3">
      <c r="B8" s="13"/>
      <c r="C8" s="13"/>
      <c r="D8" s="13"/>
      <c r="E8" s="13"/>
      <c r="F8" s="13"/>
      <c r="G8" s="13"/>
      <c r="H8" s="13"/>
    </row>
    <row r="9" spans="1:8" s="12" customFormat="1" ht="25.9" customHeight="1" thickBot="1" x14ac:dyDescent="0.3">
      <c r="B9" s="13"/>
      <c r="C9" s="10" t="s">
        <v>78</v>
      </c>
      <c r="D9" s="13"/>
      <c r="E9" s="13"/>
      <c r="F9" s="9" t="s">
        <v>81</v>
      </c>
      <c r="G9" s="13"/>
      <c r="H9" s="13"/>
    </row>
    <row r="10" spans="1:8" s="12" customFormat="1" ht="25.9" customHeight="1" thickBot="1" x14ac:dyDescent="0.3">
      <c r="B10" s="13"/>
      <c r="C10" s="13"/>
      <c r="D10" s="13"/>
      <c r="E10" s="13"/>
      <c r="F10" s="13"/>
      <c r="G10" s="13"/>
      <c r="H10" s="13"/>
    </row>
    <row r="11" spans="1:8" s="12" customFormat="1" ht="25.9" customHeight="1" thickBot="1" x14ac:dyDescent="0.3">
      <c r="B11" s="13"/>
      <c r="C11" s="9" t="s">
        <v>88</v>
      </c>
      <c r="D11" s="13"/>
      <c r="E11" s="13"/>
      <c r="F11" s="9" t="s">
        <v>82</v>
      </c>
      <c r="G11" s="13"/>
      <c r="H11" s="13"/>
    </row>
    <row r="12" spans="1:8" s="12" customFormat="1" ht="25.9" customHeight="1" thickBot="1" x14ac:dyDescent="0.3">
      <c r="B12" s="13"/>
      <c r="C12" s="13"/>
      <c r="D12" s="13"/>
      <c r="E12" s="13"/>
      <c r="F12" s="13"/>
      <c r="G12" s="13"/>
      <c r="H12" s="13"/>
    </row>
    <row r="13" spans="1:8" s="12" customFormat="1" ht="25.9" customHeight="1" thickBot="1" x14ac:dyDescent="0.3">
      <c r="B13" s="13"/>
      <c r="C13" s="9" t="s">
        <v>79</v>
      </c>
      <c r="D13" s="13"/>
      <c r="E13" s="13"/>
      <c r="F13" s="9" t="s">
        <v>83</v>
      </c>
      <c r="G13" s="13"/>
      <c r="H13" s="13"/>
    </row>
    <row r="14" spans="1:8" s="12" customFormat="1" ht="25.9" customHeight="1" thickBot="1" x14ac:dyDescent="0.3">
      <c r="B14" s="13"/>
      <c r="C14" s="13"/>
      <c r="D14" s="13"/>
      <c r="E14" s="13"/>
      <c r="F14" s="13"/>
      <c r="G14" s="13"/>
      <c r="H14" s="13"/>
    </row>
    <row r="15" spans="1:8" s="12" customFormat="1" ht="25.9" customHeight="1" thickBot="1" x14ac:dyDescent="0.3">
      <c r="B15" s="13"/>
      <c r="C15" s="9" t="s">
        <v>80</v>
      </c>
      <c r="D15" s="13"/>
      <c r="E15" s="13"/>
      <c r="F15" s="9" t="s">
        <v>84</v>
      </c>
      <c r="G15" s="13"/>
      <c r="H15" s="13"/>
    </row>
    <row r="16" spans="1:8" ht="23.25" x14ac:dyDescent="0.35">
      <c r="B16" s="8"/>
      <c r="C16" s="8"/>
      <c r="D16" s="8"/>
      <c r="E16" s="8"/>
      <c r="F16" s="8"/>
      <c r="G16" s="8"/>
      <c r="H16" s="8"/>
    </row>
    <row r="17" spans="1:8" ht="23.25" x14ac:dyDescent="0.35">
      <c r="B17" s="8"/>
      <c r="C17" s="8"/>
      <c r="D17" s="8"/>
      <c r="E17" s="8"/>
      <c r="F17" s="8"/>
      <c r="G17" s="8"/>
      <c r="H17" s="8"/>
    </row>
    <row r="18" spans="1:8" ht="23.25" x14ac:dyDescent="0.35">
      <c r="A18" s="5"/>
      <c r="B18" s="5"/>
      <c r="C18" s="5"/>
      <c r="D18" s="5"/>
      <c r="E18" s="5"/>
      <c r="F18" s="5"/>
      <c r="G18" s="5"/>
      <c r="H18" s="5"/>
    </row>
    <row r="19" spans="1:8" ht="23.25" x14ac:dyDescent="0.35">
      <c r="A19" s="5"/>
      <c r="B19" s="5"/>
      <c r="C19" s="5"/>
      <c r="D19" s="5"/>
      <c r="E19" s="5"/>
      <c r="F19" s="5"/>
      <c r="G19" s="5"/>
    </row>
    <row r="20" spans="1:8" ht="23.25" x14ac:dyDescent="0.35">
      <c r="A20" s="5"/>
      <c r="B20" s="5"/>
      <c r="C20" s="5"/>
      <c r="D20" s="5"/>
      <c r="E20" s="5"/>
      <c r="F20" s="5"/>
      <c r="G20" s="5"/>
    </row>
  </sheetData>
  <hyperlinks>
    <hyperlink ref="C7" location="Tydkaarte!A1" display="Tydkaarte" xr:uid="{00000000-0004-0000-0000-000000000000}"/>
    <hyperlink ref="F7" location="Gewasse!A1" display="Gewasse" xr:uid="{00000000-0004-0000-0000-000001000000}"/>
    <hyperlink ref="C9" location="'Tyd Per Taak'!A1" display="Tyd Per Taak" xr:uid="{00000000-0004-0000-0000-000002000000}"/>
    <hyperlink ref="C11" location="Kratte!A1" display="Kratte" xr:uid="{00000000-0004-0000-0000-000003000000}"/>
    <hyperlink ref="C13" location="Werkers!A1" display="Werkers" xr:uid="{00000000-0004-0000-0000-000004000000}"/>
    <hyperlink ref="C15" location="Gebruikers!A1" display="Gebruikers" xr:uid="{00000000-0004-0000-0000-000005000000}"/>
    <hyperlink ref="F9" location="Plase!A1" display="Plase" xr:uid="{00000000-0004-0000-0000-000006000000}"/>
    <hyperlink ref="F11" location="Take!A1" display="Take" xr:uid="{00000000-0004-0000-0000-000007000000}"/>
    <hyperlink ref="F13" location="Spilpunte!A1" display="Spilpunte" xr:uid="{00000000-0004-0000-0000-000008000000}"/>
    <hyperlink ref="F15" location="Toegang!A1" display="Toegang" xr:uid="{00000000-0004-0000-0000-000009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>
                  <from>
                    <xdr:col>2</xdr:col>
                    <xdr:colOff>647700</xdr:colOff>
                    <xdr:row>16</xdr:row>
                    <xdr:rowOff>19050</xdr:rowOff>
                  </from>
                  <to>
                    <xdr:col>5</xdr:col>
                    <xdr:colOff>819150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P41"/>
  <sheetViews>
    <sheetView workbookViewId="0">
      <selection activeCell="H2" sqref="H2"/>
    </sheetView>
  </sheetViews>
  <sheetFormatPr defaultRowHeight="18.75" x14ac:dyDescent="0.3"/>
  <cols>
    <col min="1" max="1" width="10.7109375" bestFit="1" customWidth="1"/>
    <col min="2" max="2" width="8.42578125" bestFit="1" customWidth="1"/>
    <col min="3" max="3" width="10.85546875" bestFit="1" customWidth="1"/>
    <col min="4" max="4" width="10" bestFit="1" customWidth="1"/>
    <col min="5" max="5" width="8.7109375" bestFit="1" customWidth="1"/>
    <col min="6" max="6" width="7.28515625" customWidth="1"/>
    <col min="7" max="7" width="10" bestFit="1" customWidth="1"/>
    <col min="8" max="8" width="8.85546875" bestFit="1" customWidth="1"/>
    <col min="9" max="9" width="6.7109375" style="15" customWidth="1"/>
    <col min="10" max="10" width="16.140625" style="18" bestFit="1" customWidth="1"/>
    <col min="11" max="11" width="9.140625" style="18"/>
    <col min="12" max="12" width="16" style="18" customWidth="1"/>
    <col min="13" max="13" width="20.42578125" style="18" customWidth="1"/>
    <col min="14" max="14" width="9.140625" style="18"/>
    <col min="15" max="15" width="18.5703125" style="18" customWidth="1"/>
    <col min="16" max="16" width="19.42578125" style="18" customWidth="1"/>
  </cols>
  <sheetData>
    <row r="1" spans="1:16" ht="19.5" thickBot="1" x14ac:dyDescent="0.35">
      <c r="J1" s="16" t="s">
        <v>85</v>
      </c>
      <c r="L1" s="19" t="s">
        <v>87</v>
      </c>
      <c r="M1" s="19" t="s">
        <v>88</v>
      </c>
      <c r="O1" s="19" t="s">
        <v>89</v>
      </c>
      <c r="P1" s="19" t="s">
        <v>88</v>
      </c>
    </row>
    <row r="2" spans="1:16" ht="24" thickBot="1" x14ac:dyDescent="0.4">
      <c r="A2" t="s">
        <v>89</v>
      </c>
      <c r="B2" t="s">
        <v>90</v>
      </c>
      <c r="C2" t="s">
        <v>92</v>
      </c>
      <c r="D2" t="s">
        <v>2</v>
      </c>
      <c r="E2" t="s">
        <v>88</v>
      </c>
      <c r="F2" t="s">
        <v>93</v>
      </c>
      <c r="H2" s="11" t="s">
        <v>75</v>
      </c>
      <c r="J2" s="17">
        <f>SUBTOTAL(109,E:E)</f>
        <v>263</v>
      </c>
      <c r="L2" s="20">
        <v>13</v>
      </c>
      <c r="M2" s="21">
        <f>SUMIF(D:D,L2,E:E)</f>
        <v>15</v>
      </c>
      <c r="O2" s="22">
        <v>44214</v>
      </c>
      <c r="P2" s="21">
        <f>SUMIF(A:A,O2,E:E)</f>
        <v>41</v>
      </c>
    </row>
    <row r="3" spans="1:16" ht="15.75" x14ac:dyDescent="0.25">
      <c r="A3" s="2"/>
      <c r="B3" s="1" t="s">
        <v>100</v>
      </c>
      <c r="C3" s="1" t="s">
        <v>101</v>
      </c>
      <c r="D3">
        <v>1001</v>
      </c>
      <c r="F3" s="1"/>
      <c r="I3" s="18"/>
      <c r="N3"/>
      <c r="O3"/>
      <c r="P3"/>
    </row>
    <row r="4" spans="1:16" ht="15.75" x14ac:dyDescent="0.25">
      <c r="A4" s="2"/>
      <c r="B4" s="1" t="s">
        <v>100</v>
      </c>
      <c r="C4" s="1" t="s">
        <v>106</v>
      </c>
      <c r="D4">
        <v>1010</v>
      </c>
      <c r="F4" s="1"/>
      <c r="I4" s="18"/>
      <c r="N4"/>
      <c r="O4"/>
      <c r="P4"/>
    </row>
    <row r="5" spans="1:16" ht="15.75" x14ac:dyDescent="0.25">
      <c r="A5" s="2"/>
      <c r="B5" s="1" t="s">
        <v>100</v>
      </c>
      <c r="C5" s="1" t="s">
        <v>107</v>
      </c>
      <c r="D5">
        <v>1011</v>
      </c>
      <c r="F5" s="1"/>
      <c r="I5" s="18"/>
      <c r="N5"/>
      <c r="O5"/>
      <c r="P5"/>
    </row>
    <row r="6" spans="1:16" ht="15.75" x14ac:dyDescent="0.25">
      <c r="A6" s="2"/>
      <c r="B6" s="1" t="s">
        <v>100</v>
      </c>
      <c r="C6" s="1" t="s">
        <v>108</v>
      </c>
      <c r="D6">
        <v>1012</v>
      </c>
      <c r="F6" s="1"/>
      <c r="I6" s="18"/>
      <c r="N6"/>
      <c r="O6"/>
      <c r="P6"/>
    </row>
    <row r="7" spans="1:16" ht="15.75" x14ac:dyDescent="0.25">
      <c r="A7" s="2"/>
      <c r="B7" s="1" t="s">
        <v>100</v>
      </c>
      <c r="C7" s="1" t="s">
        <v>109</v>
      </c>
      <c r="D7">
        <v>1013</v>
      </c>
      <c r="F7" s="1"/>
      <c r="I7" s="18"/>
      <c r="N7"/>
      <c r="O7"/>
      <c r="P7"/>
    </row>
    <row r="8" spans="1:16" ht="15.75" x14ac:dyDescent="0.25">
      <c r="A8" s="2"/>
      <c r="B8" s="1" t="s">
        <v>100</v>
      </c>
      <c r="C8" s="1" t="s">
        <v>110</v>
      </c>
      <c r="D8">
        <v>1014</v>
      </c>
      <c r="F8" s="1"/>
      <c r="I8" s="18"/>
      <c r="N8"/>
      <c r="O8"/>
      <c r="P8"/>
    </row>
    <row r="9" spans="1:16" ht="15.75" x14ac:dyDescent="0.25">
      <c r="A9" s="2"/>
      <c r="B9" s="1" t="s">
        <v>100</v>
      </c>
      <c r="C9" s="1" t="s">
        <v>111</v>
      </c>
      <c r="D9">
        <v>1015</v>
      </c>
      <c r="F9" s="1"/>
      <c r="I9" s="18"/>
      <c r="N9"/>
      <c r="O9"/>
      <c r="P9"/>
    </row>
    <row r="10" spans="1:16" ht="15.75" x14ac:dyDescent="0.25">
      <c r="A10" s="2"/>
      <c r="B10" s="1" t="s">
        <v>100</v>
      </c>
      <c r="C10" s="1" t="s">
        <v>112</v>
      </c>
      <c r="D10">
        <v>1016</v>
      </c>
      <c r="F10" s="1"/>
      <c r="I10" s="18"/>
      <c r="N10"/>
      <c r="O10"/>
      <c r="P10"/>
    </row>
    <row r="11" spans="1:16" ht="15.75" x14ac:dyDescent="0.25">
      <c r="A11" s="2"/>
      <c r="B11" s="1" t="s">
        <v>100</v>
      </c>
      <c r="C11" s="1" t="s">
        <v>113</v>
      </c>
      <c r="D11">
        <v>1017</v>
      </c>
      <c r="F11" s="1"/>
      <c r="I11" s="18"/>
      <c r="N11"/>
      <c r="O11"/>
      <c r="P11"/>
    </row>
    <row r="12" spans="1:16" ht="15.75" x14ac:dyDescent="0.25">
      <c r="A12" s="2"/>
      <c r="B12" s="1" t="s">
        <v>100</v>
      </c>
      <c r="C12" s="1" t="s">
        <v>114</v>
      </c>
      <c r="D12">
        <v>1018</v>
      </c>
      <c r="F12" s="1"/>
      <c r="I12" s="18"/>
      <c r="N12"/>
      <c r="O12"/>
      <c r="P12"/>
    </row>
    <row r="13" spans="1:16" ht="15.75" x14ac:dyDescent="0.25">
      <c r="A13" s="2"/>
      <c r="B13" s="1" t="s">
        <v>100</v>
      </c>
      <c r="C13" s="1" t="s">
        <v>115</v>
      </c>
      <c r="D13">
        <v>1019</v>
      </c>
      <c r="F13" s="1"/>
      <c r="I13" s="18"/>
      <c r="N13"/>
      <c r="O13"/>
      <c r="P13"/>
    </row>
    <row r="14" spans="1:16" ht="15.75" x14ac:dyDescent="0.25">
      <c r="A14" s="2"/>
      <c r="B14" s="1" t="s">
        <v>100</v>
      </c>
      <c r="C14" s="1" t="s">
        <v>54</v>
      </c>
      <c r="D14">
        <v>1002</v>
      </c>
      <c r="F14" s="1"/>
      <c r="I14" s="18"/>
      <c r="N14"/>
      <c r="O14"/>
      <c r="P14"/>
    </row>
    <row r="15" spans="1:16" ht="15.75" x14ac:dyDescent="0.25">
      <c r="A15" s="2"/>
      <c r="B15" s="1" t="s">
        <v>100</v>
      </c>
      <c r="C15" s="1" t="s">
        <v>55</v>
      </c>
      <c r="D15">
        <v>1003</v>
      </c>
      <c r="F15" s="1"/>
      <c r="I15" s="18"/>
      <c r="N15"/>
      <c r="O15"/>
      <c r="P15"/>
    </row>
    <row r="16" spans="1:16" ht="15.75" x14ac:dyDescent="0.25">
      <c r="A16" s="2"/>
      <c r="B16" s="1" t="s">
        <v>100</v>
      </c>
      <c r="C16" s="1" t="s">
        <v>102</v>
      </c>
      <c r="D16">
        <v>1004</v>
      </c>
      <c r="F16" s="1"/>
      <c r="I16" s="18"/>
      <c r="N16"/>
      <c r="O16"/>
      <c r="P16"/>
    </row>
    <row r="17" spans="1:6" x14ac:dyDescent="0.3">
      <c r="A17" s="2"/>
      <c r="B17" s="1" t="s">
        <v>100</v>
      </c>
      <c r="C17" s="1" t="s">
        <v>56</v>
      </c>
      <c r="D17">
        <v>1005</v>
      </c>
      <c r="F17" s="1"/>
    </row>
    <row r="18" spans="1:6" x14ac:dyDescent="0.3">
      <c r="A18" s="2"/>
      <c r="B18" s="1" t="s">
        <v>100</v>
      </c>
      <c r="C18" s="1" t="s">
        <v>57</v>
      </c>
      <c r="D18">
        <v>1006</v>
      </c>
      <c r="F18" s="1"/>
    </row>
    <row r="19" spans="1:6" x14ac:dyDescent="0.3">
      <c r="A19" s="2"/>
      <c r="B19" s="1" t="s">
        <v>100</v>
      </c>
      <c r="C19" s="1" t="s">
        <v>103</v>
      </c>
      <c r="D19">
        <v>1007</v>
      </c>
      <c r="F19" s="1"/>
    </row>
    <row r="20" spans="1:6" x14ac:dyDescent="0.3">
      <c r="A20" s="2"/>
      <c r="B20" s="1" t="s">
        <v>100</v>
      </c>
      <c r="C20" s="1" t="s">
        <v>104</v>
      </c>
      <c r="D20">
        <v>1008</v>
      </c>
      <c r="F20" s="1"/>
    </row>
    <row r="21" spans="1:6" x14ac:dyDescent="0.3">
      <c r="A21" s="2"/>
      <c r="B21" s="1" t="s">
        <v>100</v>
      </c>
      <c r="C21" s="1" t="s">
        <v>105</v>
      </c>
      <c r="D21">
        <v>1009</v>
      </c>
      <c r="F21" s="1"/>
    </row>
    <row r="22" spans="1:6" x14ac:dyDescent="0.3">
      <c r="A22" s="2">
        <v>44209</v>
      </c>
      <c r="B22" s="1" t="s">
        <v>10</v>
      </c>
      <c r="C22" s="1" t="s">
        <v>11</v>
      </c>
      <c r="D22">
        <v>2000</v>
      </c>
      <c r="E22">
        <v>0</v>
      </c>
      <c r="F22" s="1" t="s">
        <v>17</v>
      </c>
    </row>
    <row r="23" spans="1:6" x14ac:dyDescent="0.3">
      <c r="A23" s="2">
        <v>44214</v>
      </c>
      <c r="B23" s="1" t="s">
        <v>12</v>
      </c>
      <c r="C23" s="1" t="s">
        <v>13</v>
      </c>
      <c r="D23">
        <v>123456789</v>
      </c>
      <c r="E23">
        <v>36</v>
      </c>
      <c r="F23" s="1" t="s">
        <v>17</v>
      </c>
    </row>
    <row r="24" spans="1:6" x14ac:dyDescent="0.3">
      <c r="A24" s="2">
        <v>44214</v>
      </c>
      <c r="B24" s="1" t="s">
        <v>10</v>
      </c>
      <c r="C24" s="1" t="s">
        <v>11</v>
      </c>
      <c r="D24">
        <v>2000</v>
      </c>
      <c r="E24">
        <v>5</v>
      </c>
      <c r="F24" s="1" t="s">
        <v>17</v>
      </c>
    </row>
    <row r="25" spans="1:6" x14ac:dyDescent="0.3">
      <c r="A25" s="2">
        <v>44215</v>
      </c>
      <c r="B25" s="1" t="s">
        <v>12</v>
      </c>
      <c r="C25" s="1" t="s">
        <v>13</v>
      </c>
      <c r="D25">
        <v>123456789</v>
      </c>
      <c r="E25">
        <v>38</v>
      </c>
      <c r="F25" s="1" t="s">
        <v>17</v>
      </c>
    </row>
    <row r="26" spans="1:6" x14ac:dyDescent="0.3">
      <c r="A26" s="2">
        <v>44217</v>
      </c>
      <c r="B26" s="1" t="s">
        <v>10</v>
      </c>
      <c r="C26" s="1" t="s">
        <v>11</v>
      </c>
      <c r="D26">
        <v>2000</v>
      </c>
      <c r="E26">
        <v>8</v>
      </c>
      <c r="F26" s="1" t="s">
        <v>17</v>
      </c>
    </row>
    <row r="27" spans="1:6" x14ac:dyDescent="0.3">
      <c r="A27" s="2">
        <v>44218</v>
      </c>
      <c r="B27" s="1" t="s">
        <v>10</v>
      </c>
      <c r="C27" s="1" t="s">
        <v>11</v>
      </c>
      <c r="D27">
        <v>2000</v>
      </c>
      <c r="E27">
        <v>10</v>
      </c>
      <c r="F27" s="1" t="s">
        <v>17</v>
      </c>
    </row>
    <row r="28" spans="1:6" x14ac:dyDescent="0.3">
      <c r="A28" s="2">
        <v>44219</v>
      </c>
      <c r="B28" s="1" t="s">
        <v>10</v>
      </c>
      <c r="C28" s="1" t="s">
        <v>11</v>
      </c>
      <c r="D28">
        <v>2000</v>
      </c>
      <c r="E28">
        <v>11</v>
      </c>
      <c r="F28" s="1" t="s">
        <v>17</v>
      </c>
    </row>
    <row r="29" spans="1:6" x14ac:dyDescent="0.3">
      <c r="A29" s="2">
        <v>44221</v>
      </c>
      <c r="B29" s="1" t="s">
        <v>12</v>
      </c>
      <c r="C29" s="1" t="s">
        <v>13</v>
      </c>
      <c r="D29">
        <v>123456789</v>
      </c>
      <c r="E29">
        <v>22</v>
      </c>
      <c r="F29" s="1" t="s">
        <v>17</v>
      </c>
    </row>
    <row r="30" spans="1:6" x14ac:dyDescent="0.3">
      <c r="A30" s="2">
        <v>44221</v>
      </c>
      <c r="B30" s="1" t="s">
        <v>16</v>
      </c>
      <c r="C30" s="1" t="s">
        <v>116</v>
      </c>
      <c r="D30">
        <v>13</v>
      </c>
      <c r="E30">
        <v>15</v>
      </c>
      <c r="F30" s="1" t="s">
        <v>17</v>
      </c>
    </row>
    <row r="31" spans="1:6" x14ac:dyDescent="0.3">
      <c r="A31" s="2">
        <v>44221</v>
      </c>
      <c r="B31" s="1" t="s">
        <v>8</v>
      </c>
      <c r="C31" s="1" t="s">
        <v>9</v>
      </c>
      <c r="D31">
        <v>1000</v>
      </c>
      <c r="E31">
        <v>2</v>
      </c>
      <c r="F31" s="1" t="s">
        <v>17</v>
      </c>
    </row>
    <row r="32" spans="1:6" x14ac:dyDescent="0.3">
      <c r="A32" s="2">
        <v>44221</v>
      </c>
      <c r="B32" s="1" t="s">
        <v>10</v>
      </c>
      <c r="C32" s="1" t="s">
        <v>11</v>
      </c>
      <c r="D32">
        <v>2000</v>
      </c>
      <c r="E32">
        <v>15</v>
      </c>
      <c r="F32" s="1" t="s">
        <v>17</v>
      </c>
    </row>
    <row r="33" spans="1:6" x14ac:dyDescent="0.3">
      <c r="A33" s="2">
        <v>44231</v>
      </c>
      <c r="B33" s="1" t="s">
        <v>8</v>
      </c>
      <c r="C33" s="1" t="s">
        <v>9</v>
      </c>
      <c r="D33">
        <v>1000</v>
      </c>
      <c r="E33">
        <v>5</v>
      </c>
      <c r="F33" s="1" t="s">
        <v>17</v>
      </c>
    </row>
    <row r="34" spans="1:6" x14ac:dyDescent="0.3">
      <c r="A34" s="2">
        <v>44242</v>
      </c>
      <c r="B34" s="1" t="s">
        <v>12</v>
      </c>
      <c r="C34" s="1" t="s">
        <v>13</v>
      </c>
      <c r="D34">
        <v>123456789</v>
      </c>
      <c r="E34">
        <v>3</v>
      </c>
      <c r="F34" s="1" t="s">
        <v>17</v>
      </c>
    </row>
    <row r="35" spans="1:6" x14ac:dyDescent="0.3">
      <c r="A35" s="2">
        <v>44246</v>
      </c>
      <c r="B35" s="1" t="s">
        <v>12</v>
      </c>
      <c r="C35" s="1" t="s">
        <v>13</v>
      </c>
      <c r="D35">
        <v>123456789</v>
      </c>
      <c r="E35">
        <v>11</v>
      </c>
      <c r="F35" s="1" t="s">
        <v>17</v>
      </c>
    </row>
    <row r="36" spans="1:6" x14ac:dyDescent="0.3">
      <c r="A36" s="2">
        <v>44250</v>
      </c>
      <c r="B36" s="1" t="s">
        <v>10</v>
      </c>
      <c r="C36" s="1" t="s">
        <v>11</v>
      </c>
      <c r="D36">
        <v>2000</v>
      </c>
      <c r="E36">
        <v>6</v>
      </c>
      <c r="F36" s="1" t="s">
        <v>17</v>
      </c>
    </row>
    <row r="37" spans="1:6" x14ac:dyDescent="0.3">
      <c r="A37" s="2">
        <v>44251</v>
      </c>
      <c r="B37" s="1" t="s">
        <v>12</v>
      </c>
      <c r="C37" s="1" t="s">
        <v>13</v>
      </c>
      <c r="D37">
        <v>123456789</v>
      </c>
      <c r="E37">
        <v>18</v>
      </c>
      <c r="F37" s="1" t="s">
        <v>17</v>
      </c>
    </row>
    <row r="38" spans="1:6" x14ac:dyDescent="0.3">
      <c r="A38" s="2">
        <v>44251</v>
      </c>
      <c r="B38" s="1" t="s">
        <v>8</v>
      </c>
      <c r="C38" s="1" t="s">
        <v>9</v>
      </c>
      <c r="D38">
        <v>1000</v>
      </c>
      <c r="E38">
        <v>30</v>
      </c>
      <c r="F38" s="1" t="s">
        <v>17</v>
      </c>
    </row>
    <row r="39" spans="1:6" x14ac:dyDescent="0.3">
      <c r="A39" s="2">
        <v>44251</v>
      </c>
      <c r="B39" s="1" t="s">
        <v>14</v>
      </c>
      <c r="C39" s="1" t="s">
        <v>15</v>
      </c>
      <c r="D39">
        <v>12</v>
      </c>
      <c r="E39">
        <v>17</v>
      </c>
      <c r="F39" s="1" t="s">
        <v>17</v>
      </c>
    </row>
    <row r="40" spans="1:6" x14ac:dyDescent="0.3">
      <c r="A40" s="2">
        <v>44252</v>
      </c>
      <c r="B40" s="1" t="s">
        <v>8</v>
      </c>
      <c r="C40" s="1" t="s">
        <v>9</v>
      </c>
      <c r="D40">
        <v>1000</v>
      </c>
      <c r="E40">
        <v>5</v>
      </c>
      <c r="F40" s="1" t="s">
        <v>17</v>
      </c>
    </row>
    <row r="41" spans="1:6" x14ac:dyDescent="0.3">
      <c r="A41" s="2">
        <v>44252</v>
      </c>
      <c r="B41" s="1" t="s">
        <v>8</v>
      </c>
      <c r="C41" s="1" t="s">
        <v>9</v>
      </c>
      <c r="D41">
        <v>1000</v>
      </c>
      <c r="E41">
        <v>6</v>
      </c>
      <c r="F41" s="1" t="s">
        <v>39</v>
      </c>
    </row>
  </sheetData>
  <hyperlinks>
    <hyperlink ref="H2" location="TUIS!A1" display="TUIS" xr:uid="{00000000-0004-0000-0100-000000000000}"/>
    <hyperlink ref="M2" r:id="rId1" display="https://exceljet.net/excel-functions/excel-sumifs-function" xr:uid="{00000000-0004-0000-0100-000001000000}"/>
    <hyperlink ref="P2" r:id="rId2" display="https://exceljet.net/excel-functions/excel-sumifs-function" xr:uid="{00000000-0004-0000-0100-000002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F26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8.42578125" bestFit="1" customWidth="1"/>
    <col min="3" max="3" width="10.85546875" bestFit="1" customWidth="1"/>
    <col min="4" max="4" width="10" bestFit="1" customWidth="1"/>
  </cols>
  <sheetData>
    <row r="2" spans="1:6" ht="23.25" x14ac:dyDescent="0.35">
      <c r="A2" t="s">
        <v>52</v>
      </c>
      <c r="B2" t="s">
        <v>90</v>
      </c>
      <c r="C2" t="s">
        <v>92</v>
      </c>
      <c r="D2" t="s">
        <v>2</v>
      </c>
      <c r="F2" s="4" t="s">
        <v>75</v>
      </c>
    </row>
    <row r="3" spans="1:6" x14ac:dyDescent="0.25">
      <c r="A3">
        <v>1</v>
      </c>
      <c r="B3" s="1" t="s">
        <v>10</v>
      </c>
      <c r="C3" s="1" t="s">
        <v>11</v>
      </c>
      <c r="D3">
        <v>2000</v>
      </c>
    </row>
    <row r="4" spans="1:6" x14ac:dyDescent="0.25">
      <c r="A4">
        <v>7</v>
      </c>
      <c r="B4" s="1" t="s">
        <v>100</v>
      </c>
      <c r="C4" s="1" t="s">
        <v>101</v>
      </c>
      <c r="D4">
        <v>1001</v>
      </c>
    </row>
    <row r="5" spans="1:6" x14ac:dyDescent="0.25">
      <c r="A5">
        <v>8</v>
      </c>
      <c r="B5" s="1" t="s">
        <v>100</v>
      </c>
      <c r="C5" s="1" t="s">
        <v>54</v>
      </c>
      <c r="D5">
        <v>1002</v>
      </c>
    </row>
    <row r="6" spans="1:6" x14ac:dyDescent="0.25">
      <c r="A6">
        <v>9</v>
      </c>
      <c r="B6" s="1" t="s">
        <v>100</v>
      </c>
      <c r="C6" s="1" t="s">
        <v>55</v>
      </c>
      <c r="D6">
        <v>1003</v>
      </c>
    </row>
    <row r="7" spans="1:6" x14ac:dyDescent="0.25">
      <c r="A7">
        <v>10</v>
      </c>
      <c r="B7" s="1" t="s">
        <v>100</v>
      </c>
      <c r="C7" s="1" t="s">
        <v>102</v>
      </c>
      <c r="D7">
        <v>1004</v>
      </c>
    </row>
    <row r="8" spans="1:6" x14ac:dyDescent="0.25">
      <c r="A8">
        <v>11</v>
      </c>
      <c r="B8" s="1" t="s">
        <v>100</v>
      </c>
      <c r="C8" s="1" t="s">
        <v>56</v>
      </c>
      <c r="D8">
        <v>1005</v>
      </c>
    </row>
    <row r="9" spans="1:6" x14ac:dyDescent="0.25">
      <c r="A9">
        <v>12</v>
      </c>
      <c r="B9" s="1" t="s">
        <v>100</v>
      </c>
      <c r="C9" s="1" t="s">
        <v>57</v>
      </c>
      <c r="D9">
        <v>1006</v>
      </c>
    </row>
    <row r="10" spans="1:6" x14ac:dyDescent="0.25">
      <c r="A10">
        <v>13</v>
      </c>
      <c r="B10" s="1" t="s">
        <v>100</v>
      </c>
      <c r="C10" s="1" t="s">
        <v>103</v>
      </c>
      <c r="D10">
        <v>1007</v>
      </c>
    </row>
    <row r="11" spans="1:6" x14ac:dyDescent="0.25">
      <c r="A11">
        <v>14</v>
      </c>
      <c r="B11" s="1" t="s">
        <v>100</v>
      </c>
      <c r="C11" s="1" t="s">
        <v>104</v>
      </c>
      <c r="D11">
        <v>1008</v>
      </c>
    </row>
    <row r="12" spans="1:6" x14ac:dyDescent="0.25">
      <c r="A12">
        <v>15</v>
      </c>
      <c r="B12" s="1" t="s">
        <v>100</v>
      </c>
      <c r="C12" s="1" t="s">
        <v>105</v>
      </c>
      <c r="D12">
        <v>1009</v>
      </c>
    </row>
    <row r="13" spans="1:6" x14ac:dyDescent="0.25">
      <c r="A13">
        <v>16</v>
      </c>
      <c r="B13" s="1" t="s">
        <v>100</v>
      </c>
      <c r="C13" s="1" t="s">
        <v>106</v>
      </c>
      <c r="D13">
        <v>1010</v>
      </c>
    </row>
    <row r="14" spans="1:6" x14ac:dyDescent="0.25">
      <c r="A14">
        <v>17</v>
      </c>
      <c r="B14" s="1" t="s">
        <v>100</v>
      </c>
      <c r="C14" s="1" t="s">
        <v>107</v>
      </c>
      <c r="D14">
        <v>1011</v>
      </c>
    </row>
    <row r="15" spans="1:6" x14ac:dyDescent="0.25">
      <c r="A15">
        <v>18</v>
      </c>
      <c r="B15" s="1" t="s">
        <v>100</v>
      </c>
      <c r="C15" s="1" t="s">
        <v>108</v>
      </c>
      <c r="D15">
        <v>1012</v>
      </c>
    </row>
    <row r="16" spans="1:6" x14ac:dyDescent="0.25">
      <c r="A16">
        <v>19</v>
      </c>
      <c r="B16" s="1" t="s">
        <v>100</v>
      </c>
      <c r="C16" s="1" t="s">
        <v>109</v>
      </c>
      <c r="D16">
        <v>1013</v>
      </c>
    </row>
    <row r="17" spans="1:4" x14ac:dyDescent="0.25">
      <c r="A17">
        <v>20</v>
      </c>
      <c r="B17" s="1" t="s">
        <v>100</v>
      </c>
      <c r="C17" s="1" t="s">
        <v>110</v>
      </c>
      <c r="D17">
        <v>1014</v>
      </c>
    </row>
    <row r="18" spans="1:4" x14ac:dyDescent="0.25">
      <c r="A18">
        <v>21</v>
      </c>
      <c r="B18" s="1" t="s">
        <v>100</v>
      </c>
      <c r="C18" s="1" t="s">
        <v>111</v>
      </c>
      <c r="D18">
        <v>1015</v>
      </c>
    </row>
    <row r="19" spans="1:4" x14ac:dyDescent="0.25">
      <c r="A19">
        <v>22</v>
      </c>
      <c r="B19" s="1" t="s">
        <v>100</v>
      </c>
      <c r="C19" s="1" t="s">
        <v>112</v>
      </c>
      <c r="D19">
        <v>1016</v>
      </c>
    </row>
    <row r="20" spans="1:4" x14ac:dyDescent="0.25">
      <c r="A20">
        <v>23</v>
      </c>
      <c r="B20" s="1" t="s">
        <v>100</v>
      </c>
      <c r="C20" s="1" t="s">
        <v>113</v>
      </c>
      <c r="D20">
        <v>1017</v>
      </c>
    </row>
    <row r="21" spans="1:4" x14ac:dyDescent="0.25">
      <c r="A21">
        <v>24</v>
      </c>
      <c r="B21" s="1" t="s">
        <v>100</v>
      </c>
      <c r="C21" s="1" t="s">
        <v>114</v>
      </c>
      <c r="D21">
        <v>1018</v>
      </c>
    </row>
    <row r="22" spans="1:4" x14ac:dyDescent="0.25">
      <c r="A22">
        <v>25</v>
      </c>
      <c r="B22" s="1" t="s">
        <v>100</v>
      </c>
      <c r="C22" s="1" t="s">
        <v>115</v>
      </c>
      <c r="D22">
        <v>1019</v>
      </c>
    </row>
    <row r="23" spans="1:4" x14ac:dyDescent="0.25">
      <c r="A23">
        <v>2</v>
      </c>
      <c r="B23" s="1" t="s">
        <v>8</v>
      </c>
      <c r="C23" s="1" t="s">
        <v>9</v>
      </c>
      <c r="D23">
        <v>1000</v>
      </c>
    </row>
    <row r="24" spans="1:4" x14ac:dyDescent="0.25">
      <c r="A24">
        <v>3</v>
      </c>
      <c r="B24" s="1" t="s">
        <v>12</v>
      </c>
      <c r="C24" s="1" t="s">
        <v>13</v>
      </c>
      <c r="D24">
        <v>123456789</v>
      </c>
    </row>
    <row r="25" spans="1:4" x14ac:dyDescent="0.25">
      <c r="A25">
        <v>4</v>
      </c>
      <c r="B25" s="1" t="s">
        <v>16</v>
      </c>
      <c r="C25" s="1" t="s">
        <v>116</v>
      </c>
      <c r="D25">
        <v>13</v>
      </c>
    </row>
    <row r="26" spans="1:4" x14ac:dyDescent="0.25">
      <c r="A26">
        <v>6</v>
      </c>
      <c r="B26" s="1" t="s">
        <v>14</v>
      </c>
      <c r="C26" s="1" t="s">
        <v>15</v>
      </c>
      <c r="D26">
        <v>12</v>
      </c>
    </row>
  </sheetData>
  <hyperlinks>
    <hyperlink ref="F2" location="TUIS!A1" display="TUIS" xr:uid="{00000000-0004-0000-0200-000000000000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J4"/>
  <sheetViews>
    <sheetView workbookViewId="0">
      <selection activeCell="J2" sqref="J2"/>
    </sheetView>
  </sheetViews>
  <sheetFormatPr defaultRowHeight="15" x14ac:dyDescent="0.25"/>
  <cols>
    <col min="1" max="1" width="5.140625" bestFit="1" customWidth="1"/>
    <col min="2" max="2" width="8.42578125" bestFit="1" customWidth="1"/>
    <col min="3" max="3" width="7.28515625" bestFit="1" customWidth="1"/>
    <col min="4" max="4" width="5.85546875" bestFit="1" customWidth="1"/>
    <col min="5" max="5" width="13.42578125" bestFit="1" customWidth="1"/>
    <col min="6" max="6" width="16.7109375" bestFit="1" customWidth="1"/>
    <col min="7" max="7" width="13.85546875" bestFit="1" customWidth="1"/>
    <col min="8" max="8" width="17.28515625" bestFit="1" customWidth="1"/>
    <col min="9" max="9" width="11.5703125" bestFit="1" customWidth="1"/>
    <col min="10" max="10" width="13.85546875" bestFit="1" customWidth="1"/>
    <col min="11" max="12" width="11.5703125" bestFit="1" customWidth="1"/>
    <col min="13" max="13" width="13.85546875" bestFit="1" customWidth="1"/>
    <col min="14" max="14" width="9.7109375" bestFit="1" customWidth="1"/>
  </cols>
  <sheetData>
    <row r="2" spans="1:10" ht="23.25" x14ac:dyDescent="0.35">
      <c r="A2" t="s">
        <v>52</v>
      </c>
      <c r="B2" t="s">
        <v>90</v>
      </c>
      <c r="C2" t="s">
        <v>92</v>
      </c>
      <c r="D2" t="s">
        <v>2</v>
      </c>
      <c r="E2" t="s">
        <v>95</v>
      </c>
      <c r="F2" t="s">
        <v>96</v>
      </c>
      <c r="G2" t="s">
        <v>94</v>
      </c>
      <c r="H2" t="s">
        <v>97</v>
      </c>
      <c r="J2" s="4" t="s">
        <v>75</v>
      </c>
    </row>
    <row r="3" spans="1:10" x14ac:dyDescent="0.25">
      <c r="A3">
        <v>1</v>
      </c>
      <c r="B3" s="1" t="s">
        <v>3</v>
      </c>
      <c r="C3" s="1" t="s">
        <v>4</v>
      </c>
      <c r="D3">
        <v>0</v>
      </c>
      <c r="E3" s="1"/>
      <c r="F3" s="1"/>
      <c r="G3" s="1" t="s">
        <v>5</v>
      </c>
      <c r="H3" s="1"/>
    </row>
    <row r="4" spans="1:10" x14ac:dyDescent="0.25">
      <c r="A4">
        <v>2</v>
      </c>
      <c r="B4" s="1" t="s">
        <v>3</v>
      </c>
      <c r="C4" s="1" t="s">
        <v>6</v>
      </c>
      <c r="D4">
        <v>0</v>
      </c>
      <c r="E4" s="1"/>
      <c r="F4" s="1"/>
      <c r="G4" s="1" t="s">
        <v>7</v>
      </c>
      <c r="H4" s="1"/>
    </row>
  </sheetData>
  <hyperlinks>
    <hyperlink ref="J2" location="TUIS!A1" display="TUIS" xr:uid="{00000000-0004-0000-0300-000000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:E6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0.5703125" bestFit="1" customWidth="1"/>
    <col min="3" max="3" width="11.5703125" bestFit="1" customWidth="1"/>
  </cols>
  <sheetData>
    <row r="2" spans="1:5" ht="23.25" x14ac:dyDescent="0.35">
      <c r="A2" t="s">
        <v>52</v>
      </c>
      <c r="B2" t="s">
        <v>90</v>
      </c>
      <c r="C2" t="s">
        <v>91</v>
      </c>
      <c r="E2" s="4" t="s">
        <v>75</v>
      </c>
    </row>
    <row r="3" spans="1:5" x14ac:dyDescent="0.25">
      <c r="A3">
        <v>1</v>
      </c>
      <c r="B3" s="1" t="s">
        <v>58</v>
      </c>
      <c r="C3" s="1"/>
    </row>
    <row r="4" spans="1:5" x14ac:dyDescent="0.25">
      <c r="A4">
        <v>2</v>
      </c>
      <c r="B4" s="1" t="s">
        <v>59</v>
      </c>
      <c r="C4" s="1"/>
    </row>
    <row r="5" spans="1:5" x14ac:dyDescent="0.25">
      <c r="A5">
        <v>3</v>
      </c>
      <c r="B5" s="1" t="s">
        <v>60</v>
      </c>
      <c r="C5" s="1"/>
    </row>
    <row r="6" spans="1:5" x14ac:dyDescent="0.25">
      <c r="A6">
        <v>4</v>
      </c>
      <c r="B6" s="1" t="s">
        <v>61</v>
      </c>
      <c r="C6" s="1"/>
    </row>
  </sheetData>
  <hyperlinks>
    <hyperlink ref="E2" location="TUIS!A1" display="TUIS" xr:uid="{00000000-0004-0000-0400-000000000000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E5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0.140625" bestFit="1" customWidth="1"/>
    <col min="3" max="3" width="11.5703125" bestFit="1" customWidth="1"/>
  </cols>
  <sheetData>
    <row r="2" spans="1:5" ht="23.25" x14ac:dyDescent="0.35">
      <c r="A2" t="s">
        <v>52</v>
      </c>
      <c r="B2" t="s">
        <v>90</v>
      </c>
      <c r="C2" t="s">
        <v>91</v>
      </c>
      <c r="E2" s="4" t="s">
        <v>75</v>
      </c>
    </row>
    <row r="3" spans="1:5" x14ac:dyDescent="0.25">
      <c r="A3">
        <v>5</v>
      </c>
      <c r="B3" s="1" t="s">
        <v>86</v>
      </c>
      <c r="C3" s="1" t="s">
        <v>62</v>
      </c>
    </row>
    <row r="4" spans="1:5" x14ac:dyDescent="0.25">
      <c r="A4">
        <v>4</v>
      </c>
      <c r="B4" s="1" t="s">
        <v>63</v>
      </c>
      <c r="C4" s="1" t="s">
        <v>64</v>
      </c>
    </row>
    <row r="5" spans="1:5" x14ac:dyDescent="0.25">
      <c r="A5">
        <v>3</v>
      </c>
      <c r="B5" s="1" t="s">
        <v>65</v>
      </c>
      <c r="C5" s="1" t="s">
        <v>66</v>
      </c>
    </row>
  </sheetData>
  <hyperlinks>
    <hyperlink ref="E2" location="TUIS!A1" display="TUIS" xr:uid="{00000000-0004-0000-0500-000000000000}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E6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0.140625" bestFit="1" customWidth="1"/>
    <col min="3" max="3" width="11.5703125" bestFit="1" customWidth="1"/>
  </cols>
  <sheetData>
    <row r="2" spans="1:5" ht="23.25" x14ac:dyDescent="0.35">
      <c r="A2" t="s">
        <v>52</v>
      </c>
      <c r="B2" t="s">
        <v>90</v>
      </c>
      <c r="C2" t="s">
        <v>91</v>
      </c>
      <c r="E2" s="4" t="s">
        <v>75</v>
      </c>
    </row>
    <row r="3" spans="1:5" x14ac:dyDescent="0.25">
      <c r="A3">
        <v>1</v>
      </c>
      <c r="B3" s="1" t="s">
        <v>29</v>
      </c>
      <c r="C3" s="1"/>
    </row>
    <row r="4" spans="1:5" x14ac:dyDescent="0.25">
      <c r="A4">
        <v>2</v>
      </c>
      <c r="B4" s="1" t="s">
        <v>17</v>
      </c>
      <c r="C4" s="1"/>
    </row>
    <row r="5" spans="1:5" x14ac:dyDescent="0.25">
      <c r="A5">
        <v>3</v>
      </c>
      <c r="B5" s="1" t="s">
        <v>39</v>
      </c>
      <c r="C5" s="1"/>
    </row>
    <row r="6" spans="1:5" x14ac:dyDescent="0.25">
      <c r="A6">
        <v>4</v>
      </c>
      <c r="B6" s="1" t="s">
        <v>36</v>
      </c>
      <c r="C6" s="1"/>
    </row>
  </sheetData>
  <hyperlinks>
    <hyperlink ref="E2" location="TUIS!A1" display="TUIS" xr:uid="{00000000-0004-0000-0600-000000000000}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F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9.85546875" bestFit="1" customWidth="1"/>
    <col min="3" max="3" width="11.5703125" bestFit="1" customWidth="1"/>
    <col min="4" max="4" width="10.140625" bestFit="1" customWidth="1"/>
    <col min="5" max="5" width="10.5703125" bestFit="1" customWidth="1"/>
    <col min="6" max="6" width="10.140625" bestFit="1" customWidth="1"/>
  </cols>
  <sheetData>
    <row r="2" spans="1:6" ht="23.25" x14ac:dyDescent="0.35">
      <c r="A2" t="s">
        <v>52</v>
      </c>
      <c r="B2" t="s">
        <v>90</v>
      </c>
      <c r="C2" t="s">
        <v>91</v>
      </c>
      <c r="D2" t="s">
        <v>98</v>
      </c>
      <c r="F2" s="4" t="s">
        <v>75</v>
      </c>
    </row>
    <row r="3" spans="1:6" x14ac:dyDescent="0.25">
      <c r="A3">
        <v>5</v>
      </c>
      <c r="B3" s="1" t="s">
        <v>67</v>
      </c>
      <c r="C3" s="1" t="s">
        <v>68</v>
      </c>
      <c r="D3">
        <v>5</v>
      </c>
    </row>
    <row r="4" spans="1:6" x14ac:dyDescent="0.25">
      <c r="A4">
        <v>4</v>
      </c>
      <c r="B4" s="1" t="s">
        <v>51</v>
      </c>
      <c r="C4" s="1" t="s">
        <v>69</v>
      </c>
      <c r="D4">
        <v>5</v>
      </c>
    </row>
    <row r="5" spans="1:6" x14ac:dyDescent="0.25">
      <c r="A5">
        <v>6</v>
      </c>
      <c r="B5" s="1" t="s">
        <v>117</v>
      </c>
      <c r="C5" s="1" t="s">
        <v>70</v>
      </c>
      <c r="D5">
        <v>5</v>
      </c>
    </row>
    <row r="6" spans="1:6" x14ac:dyDescent="0.25">
      <c r="A6">
        <v>7</v>
      </c>
      <c r="B6" s="1" t="s">
        <v>71</v>
      </c>
      <c r="C6" s="1" t="s">
        <v>72</v>
      </c>
      <c r="D6">
        <v>5</v>
      </c>
    </row>
    <row r="7" spans="1:6" x14ac:dyDescent="0.25">
      <c r="A7">
        <v>8</v>
      </c>
      <c r="B7" s="1" t="s">
        <v>73</v>
      </c>
      <c r="C7" s="1" t="s">
        <v>74</v>
      </c>
      <c r="D7">
        <v>5</v>
      </c>
    </row>
  </sheetData>
  <hyperlinks>
    <hyperlink ref="F2" location="TUIS!A1" display="TUIS" xr:uid="{00000000-0004-0000-0700-000000000000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2:E9"/>
  <sheetViews>
    <sheetView workbookViewId="0">
      <selection activeCell="E2" sqref="E2"/>
    </sheetView>
  </sheetViews>
  <sheetFormatPr defaultRowHeight="15" x14ac:dyDescent="0.25"/>
  <cols>
    <col min="1" max="1" width="5.140625" bestFit="1" customWidth="1"/>
    <col min="2" max="2" width="13.85546875" bestFit="1" customWidth="1"/>
    <col min="3" max="3" width="13.42578125" bestFit="1" customWidth="1"/>
  </cols>
  <sheetData>
    <row r="2" spans="1:5" ht="23.25" x14ac:dyDescent="0.35">
      <c r="A2" t="s">
        <v>52</v>
      </c>
      <c r="B2" t="s">
        <v>90</v>
      </c>
      <c r="C2" t="s">
        <v>99</v>
      </c>
      <c r="E2" s="4" t="s">
        <v>75</v>
      </c>
    </row>
    <row r="3" spans="1:5" x14ac:dyDescent="0.25">
      <c r="A3">
        <v>1</v>
      </c>
      <c r="B3" s="1" t="s">
        <v>53</v>
      </c>
      <c r="C3" s="1"/>
    </row>
    <row r="4" spans="1:5" x14ac:dyDescent="0.25">
      <c r="A4">
        <v>2</v>
      </c>
      <c r="B4" s="1" t="s">
        <v>54</v>
      </c>
      <c r="C4" s="1"/>
    </row>
    <row r="5" spans="1:5" x14ac:dyDescent="0.25">
      <c r="A5">
        <v>3</v>
      </c>
      <c r="B5" s="1" t="s">
        <v>55</v>
      </c>
      <c r="C5" s="1"/>
    </row>
    <row r="6" spans="1:5" x14ac:dyDescent="0.25">
      <c r="A6">
        <v>4</v>
      </c>
      <c r="B6" s="1" t="s">
        <v>7</v>
      </c>
      <c r="C6" s="1"/>
    </row>
    <row r="7" spans="1:5" x14ac:dyDescent="0.25">
      <c r="A7">
        <v>5</v>
      </c>
      <c r="B7" s="1" t="s">
        <v>56</v>
      </c>
      <c r="C7" s="1"/>
    </row>
    <row r="8" spans="1:5" x14ac:dyDescent="0.25">
      <c r="A8">
        <v>6</v>
      </c>
      <c r="B8" s="1" t="s">
        <v>57</v>
      </c>
      <c r="C8" s="1"/>
    </row>
    <row r="9" spans="1:5" x14ac:dyDescent="0.25">
      <c r="A9">
        <v>7</v>
      </c>
      <c r="B9" s="1" t="s">
        <v>5</v>
      </c>
      <c r="C9" s="1"/>
    </row>
  </sheetData>
  <hyperlinks>
    <hyperlink ref="E2" location="TUIS!A1" display="TUIS" xr:uid="{00000000-0004-0000-0800-000000000000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25"/>
  <sheetViews>
    <sheetView workbookViewId="0">
      <selection activeCell="I2" sqref="I2"/>
    </sheetView>
  </sheetViews>
  <sheetFormatPr defaultRowHeight="15" x14ac:dyDescent="0.25"/>
  <cols>
    <col min="1" max="1" width="14.85546875" bestFit="1" customWidth="1"/>
    <col min="2" max="2" width="10.7109375" bestFit="1" customWidth="1"/>
    <col min="3" max="3" width="8.140625" bestFit="1" customWidth="1"/>
    <col min="4" max="4" width="10.85546875" bestFit="1" customWidth="1"/>
    <col min="5" max="5" width="10" bestFit="1" customWidth="1"/>
    <col min="6" max="6" width="16.42578125" bestFit="1" customWidth="1"/>
    <col min="7" max="7" width="14.5703125" bestFit="1" customWidth="1"/>
    <col min="11" max="11" width="8.85546875" style="12"/>
  </cols>
  <sheetData>
    <row r="1" spans="1:10" ht="15.75" x14ac:dyDescent="0.25">
      <c r="A1" s="1" t="s">
        <v>118</v>
      </c>
      <c r="B1" s="1" t="s">
        <v>119</v>
      </c>
      <c r="C1" s="1" t="s">
        <v>0</v>
      </c>
      <c r="D1" s="1" t="s">
        <v>1</v>
      </c>
      <c r="E1" s="1" t="s">
        <v>2</v>
      </c>
      <c r="F1" s="1" t="s">
        <v>120</v>
      </c>
      <c r="G1" s="1" t="s">
        <v>121</v>
      </c>
      <c r="J1" s="14"/>
    </row>
    <row r="2" spans="1:10" ht="23.25" x14ac:dyDescent="0.35">
      <c r="A2" s="1"/>
      <c r="B2" s="2"/>
      <c r="C2" s="1" t="s">
        <v>8</v>
      </c>
      <c r="D2" s="1" t="s">
        <v>9</v>
      </c>
      <c r="E2" s="1">
        <v>1000</v>
      </c>
      <c r="F2" s="1" t="s">
        <v>3</v>
      </c>
      <c r="G2" s="1" t="s">
        <v>9</v>
      </c>
      <c r="I2" s="4" t="s">
        <v>75</v>
      </c>
      <c r="J2" s="14"/>
    </row>
    <row r="3" spans="1:10" x14ac:dyDescent="0.25">
      <c r="A3" s="1" t="s">
        <v>122</v>
      </c>
      <c r="B3" s="2">
        <v>44209</v>
      </c>
      <c r="C3" s="1" t="s">
        <v>10</v>
      </c>
      <c r="D3" s="1" t="s">
        <v>11</v>
      </c>
      <c r="E3" s="1">
        <v>2000</v>
      </c>
      <c r="F3" s="1" t="s">
        <v>3</v>
      </c>
      <c r="G3" s="1" t="s">
        <v>11</v>
      </c>
    </row>
    <row r="4" spans="1:10" x14ac:dyDescent="0.25">
      <c r="A4" s="1" t="s">
        <v>35</v>
      </c>
      <c r="B4" s="2">
        <v>44214</v>
      </c>
      <c r="C4" s="1" t="s">
        <v>12</v>
      </c>
      <c r="D4" s="1" t="s">
        <v>13</v>
      </c>
      <c r="E4" s="1">
        <v>123456789</v>
      </c>
      <c r="F4" s="1" t="s">
        <v>3</v>
      </c>
      <c r="G4" s="1" t="s">
        <v>13</v>
      </c>
    </row>
    <row r="5" spans="1:10" x14ac:dyDescent="0.25">
      <c r="A5" s="1" t="s">
        <v>123</v>
      </c>
      <c r="B5" s="2">
        <v>44214</v>
      </c>
      <c r="C5" s="1" t="s">
        <v>10</v>
      </c>
      <c r="D5" s="1" t="s">
        <v>11</v>
      </c>
      <c r="E5" s="1">
        <v>2000</v>
      </c>
      <c r="F5" s="1" t="s">
        <v>3</v>
      </c>
      <c r="G5" s="1" t="s">
        <v>11</v>
      </c>
    </row>
    <row r="6" spans="1:10" x14ac:dyDescent="0.25">
      <c r="A6" s="1" t="s">
        <v>124</v>
      </c>
      <c r="B6" s="2">
        <v>44215</v>
      </c>
      <c r="C6" s="1" t="s">
        <v>12</v>
      </c>
      <c r="D6" s="1" t="s">
        <v>13</v>
      </c>
      <c r="E6" s="1">
        <v>123456789</v>
      </c>
      <c r="F6" s="1" t="s">
        <v>3</v>
      </c>
      <c r="G6" s="1" t="s">
        <v>13</v>
      </c>
    </row>
    <row r="7" spans="1:10" x14ac:dyDescent="0.25">
      <c r="A7" s="1" t="s">
        <v>125</v>
      </c>
      <c r="B7" s="2">
        <v>44219</v>
      </c>
      <c r="C7" s="1"/>
      <c r="D7" s="1"/>
      <c r="E7" s="1"/>
      <c r="F7" s="1" t="s">
        <v>3</v>
      </c>
      <c r="G7" s="1"/>
    </row>
    <row r="8" spans="1:10" x14ac:dyDescent="0.25">
      <c r="A8" s="1" t="s">
        <v>40</v>
      </c>
      <c r="B8" s="2">
        <v>44219</v>
      </c>
      <c r="C8" s="1" t="s">
        <v>12</v>
      </c>
      <c r="D8" s="1" t="s">
        <v>13</v>
      </c>
      <c r="E8" s="1">
        <v>123456789</v>
      </c>
      <c r="F8" s="1" t="s">
        <v>3</v>
      </c>
      <c r="G8" s="1" t="s">
        <v>13</v>
      </c>
    </row>
    <row r="9" spans="1:10" x14ac:dyDescent="0.25">
      <c r="A9" s="1" t="s">
        <v>126</v>
      </c>
      <c r="B9" s="2">
        <v>44219</v>
      </c>
      <c r="C9" s="1" t="s">
        <v>10</v>
      </c>
      <c r="D9" s="1" t="s">
        <v>11</v>
      </c>
      <c r="E9" s="1">
        <v>2000</v>
      </c>
      <c r="F9" s="1" t="s">
        <v>3</v>
      </c>
      <c r="G9" s="1" t="s">
        <v>11</v>
      </c>
    </row>
    <row r="10" spans="1:10" x14ac:dyDescent="0.25">
      <c r="A10" s="1" t="s">
        <v>127</v>
      </c>
      <c r="B10" s="2">
        <v>44221</v>
      </c>
      <c r="C10" s="1"/>
      <c r="D10" s="1"/>
      <c r="E10" s="1"/>
      <c r="F10" s="1" t="s">
        <v>3</v>
      </c>
      <c r="G10" s="1"/>
    </row>
    <row r="11" spans="1:10" x14ac:dyDescent="0.25">
      <c r="A11" s="1" t="s">
        <v>128</v>
      </c>
      <c r="B11" s="2">
        <v>44221</v>
      </c>
      <c r="C11" s="1" t="s">
        <v>12</v>
      </c>
      <c r="D11" s="1" t="s">
        <v>13</v>
      </c>
      <c r="E11" s="1">
        <v>123456789</v>
      </c>
      <c r="F11" s="1"/>
      <c r="G11" s="1" t="s">
        <v>13</v>
      </c>
    </row>
    <row r="12" spans="1:10" x14ac:dyDescent="0.25">
      <c r="A12" s="1" t="s">
        <v>33</v>
      </c>
      <c r="B12" s="2">
        <v>44221</v>
      </c>
      <c r="C12" s="1" t="s">
        <v>16</v>
      </c>
      <c r="D12" s="1" t="s">
        <v>116</v>
      </c>
      <c r="E12" s="1">
        <v>13</v>
      </c>
      <c r="F12" s="1" t="s">
        <v>3</v>
      </c>
      <c r="G12" s="1" t="s">
        <v>116</v>
      </c>
    </row>
    <row r="13" spans="1:10" x14ac:dyDescent="0.25">
      <c r="A13" s="1" t="s">
        <v>129</v>
      </c>
      <c r="B13" s="2">
        <v>44221</v>
      </c>
      <c r="C13" s="1" t="s">
        <v>8</v>
      </c>
      <c r="D13" s="1" t="s">
        <v>9</v>
      </c>
      <c r="E13" s="1">
        <v>1000</v>
      </c>
      <c r="F13" s="1" t="s">
        <v>3</v>
      </c>
      <c r="G13" s="1" t="s">
        <v>9</v>
      </c>
    </row>
    <row r="14" spans="1:10" x14ac:dyDescent="0.25">
      <c r="A14" s="1" t="s">
        <v>130</v>
      </c>
      <c r="B14" s="2">
        <v>44221</v>
      </c>
      <c r="C14" s="1" t="s">
        <v>10</v>
      </c>
      <c r="D14" s="1" t="s">
        <v>11</v>
      </c>
      <c r="E14" s="1">
        <v>2000</v>
      </c>
      <c r="F14" s="1" t="s">
        <v>3</v>
      </c>
      <c r="G14" s="1" t="s">
        <v>11</v>
      </c>
    </row>
    <row r="15" spans="1:10" x14ac:dyDescent="0.25">
      <c r="A15" s="1" t="s">
        <v>131</v>
      </c>
      <c r="B15" s="2">
        <v>44246</v>
      </c>
      <c r="C15" s="1"/>
      <c r="D15" s="1"/>
      <c r="E15" s="1"/>
      <c r="F15" s="1" t="s">
        <v>3</v>
      </c>
      <c r="G15" s="1"/>
    </row>
    <row r="16" spans="1:10" x14ac:dyDescent="0.25">
      <c r="A16" s="1" t="s">
        <v>132</v>
      </c>
      <c r="B16" s="2">
        <v>44246</v>
      </c>
      <c r="C16" s="1" t="s">
        <v>12</v>
      </c>
      <c r="D16" s="1" t="s">
        <v>13</v>
      </c>
      <c r="E16" s="1">
        <v>123456789</v>
      </c>
      <c r="F16" s="1" t="s">
        <v>3</v>
      </c>
      <c r="G16" s="1" t="s">
        <v>13</v>
      </c>
    </row>
    <row r="17" spans="1:7" x14ac:dyDescent="0.25">
      <c r="A17" s="1" t="s">
        <v>131</v>
      </c>
      <c r="B17" s="2">
        <v>44246</v>
      </c>
      <c r="C17" s="1" t="s">
        <v>16</v>
      </c>
      <c r="D17" s="1" t="s">
        <v>116</v>
      </c>
      <c r="E17" s="1">
        <v>13</v>
      </c>
      <c r="F17" s="1" t="s">
        <v>3</v>
      </c>
      <c r="G17" s="1" t="s">
        <v>116</v>
      </c>
    </row>
    <row r="18" spans="1:7" x14ac:dyDescent="0.25">
      <c r="A18" s="1" t="s">
        <v>133</v>
      </c>
      <c r="B18" s="2">
        <v>44246</v>
      </c>
      <c r="C18" s="1" t="s">
        <v>8</v>
      </c>
      <c r="D18" s="1" t="s">
        <v>9</v>
      </c>
      <c r="E18" s="1">
        <v>1000</v>
      </c>
      <c r="F18" s="1" t="s">
        <v>3</v>
      </c>
      <c r="G18" s="1" t="s">
        <v>9</v>
      </c>
    </row>
    <row r="19" spans="1:7" x14ac:dyDescent="0.25">
      <c r="A19" s="1" t="s">
        <v>134</v>
      </c>
      <c r="B19" s="2">
        <v>44246</v>
      </c>
      <c r="C19" s="1" t="s">
        <v>10</v>
      </c>
      <c r="D19" s="1" t="s">
        <v>11</v>
      </c>
      <c r="E19" s="1">
        <v>2000</v>
      </c>
      <c r="F19" s="1" t="s">
        <v>3</v>
      </c>
      <c r="G19" s="1" t="s">
        <v>11</v>
      </c>
    </row>
    <row r="20" spans="1:7" x14ac:dyDescent="0.25">
      <c r="A20" s="1" t="s">
        <v>31</v>
      </c>
      <c r="B20" s="2">
        <v>44250</v>
      </c>
      <c r="C20" s="1" t="s">
        <v>10</v>
      </c>
      <c r="D20" s="1" t="s">
        <v>11</v>
      </c>
      <c r="E20" s="1">
        <v>2000</v>
      </c>
      <c r="F20" s="1" t="s">
        <v>3</v>
      </c>
      <c r="G20" s="1" t="s">
        <v>11</v>
      </c>
    </row>
    <row r="21" spans="1:7" x14ac:dyDescent="0.25">
      <c r="A21" s="1" t="s">
        <v>135</v>
      </c>
      <c r="B21" s="2">
        <v>44251</v>
      </c>
      <c r="C21" s="1" t="s">
        <v>12</v>
      </c>
      <c r="D21" s="1" t="s">
        <v>13</v>
      </c>
      <c r="E21" s="1">
        <v>123456789</v>
      </c>
      <c r="F21" s="1" t="s">
        <v>3</v>
      </c>
      <c r="G21" s="1" t="s">
        <v>13</v>
      </c>
    </row>
    <row r="22" spans="1:7" x14ac:dyDescent="0.25">
      <c r="A22" s="1" t="s">
        <v>129</v>
      </c>
      <c r="B22" s="2">
        <v>44251</v>
      </c>
      <c r="C22" s="1" t="s">
        <v>16</v>
      </c>
      <c r="D22" s="1" t="s">
        <v>116</v>
      </c>
      <c r="E22" s="1">
        <v>13</v>
      </c>
      <c r="F22" s="1" t="s">
        <v>3</v>
      </c>
      <c r="G22" s="1" t="s">
        <v>116</v>
      </c>
    </row>
    <row r="23" spans="1:7" x14ac:dyDescent="0.25">
      <c r="A23" s="1" t="s">
        <v>136</v>
      </c>
      <c r="B23" s="2">
        <v>44251</v>
      </c>
      <c r="C23" s="1" t="s">
        <v>8</v>
      </c>
      <c r="D23" s="1" t="s">
        <v>9</v>
      </c>
      <c r="E23" s="1">
        <v>1000</v>
      </c>
      <c r="F23" s="1" t="s">
        <v>3</v>
      </c>
      <c r="G23" s="1" t="s">
        <v>9</v>
      </c>
    </row>
    <row r="24" spans="1:7" x14ac:dyDescent="0.25">
      <c r="A24" s="1" t="s">
        <v>137</v>
      </c>
      <c r="B24" s="2">
        <v>44251</v>
      </c>
      <c r="C24" s="1" t="s">
        <v>14</v>
      </c>
      <c r="D24" s="1" t="s">
        <v>15</v>
      </c>
      <c r="E24" s="1">
        <v>12</v>
      </c>
      <c r="F24" s="1" t="s">
        <v>3</v>
      </c>
      <c r="G24" s="1" t="s">
        <v>15</v>
      </c>
    </row>
    <row r="25" spans="1:7" x14ac:dyDescent="0.25">
      <c r="A25" s="1" t="s">
        <v>28</v>
      </c>
      <c r="B25" s="2">
        <v>44252</v>
      </c>
      <c r="C25" s="1" t="s">
        <v>8</v>
      </c>
      <c r="D25" s="1" t="s">
        <v>9</v>
      </c>
      <c r="E25" s="1">
        <v>1000</v>
      </c>
      <c r="F25" s="1" t="s">
        <v>3</v>
      </c>
      <c r="G25" s="1" t="s">
        <v>9</v>
      </c>
    </row>
  </sheetData>
  <hyperlinks>
    <hyperlink ref="I2" location="TUIS!A1" display="TUIS" xr:uid="{00000000-0004-0000-0900-000000000000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80"/>
  <sheetViews>
    <sheetView workbookViewId="0">
      <selection activeCell="O2" sqref="O2"/>
    </sheetView>
  </sheetViews>
  <sheetFormatPr defaultRowHeight="15" x14ac:dyDescent="0.25"/>
  <cols>
    <col min="1" max="1" width="18.140625" bestFit="1" customWidth="1"/>
    <col min="2" max="2" width="10.7109375" bestFit="1" customWidth="1"/>
    <col min="3" max="3" width="9.42578125" bestFit="1" customWidth="1"/>
    <col min="4" max="5" width="10.7109375" bestFit="1" customWidth="1"/>
    <col min="6" max="6" width="8.140625" bestFit="1" customWidth="1"/>
    <col min="7" max="7" width="10.85546875" bestFit="1" customWidth="1"/>
    <col min="8" max="8" width="10" bestFit="1" customWidth="1"/>
    <col min="9" max="9" width="16.28515625" bestFit="1" customWidth="1"/>
    <col min="10" max="10" width="14.42578125" bestFit="1" customWidth="1"/>
    <col min="11" max="11" width="13" bestFit="1" customWidth="1"/>
    <col min="12" max="12" width="15.85546875" bestFit="1" customWidth="1"/>
    <col min="13" max="13" width="12.140625" bestFit="1" customWidth="1"/>
  </cols>
  <sheetData>
    <row r="1" spans="1:15" x14ac:dyDescent="0.2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0</v>
      </c>
      <c r="G1" s="1" t="s">
        <v>1</v>
      </c>
      <c r="H1" s="1" t="s">
        <v>2</v>
      </c>
      <c r="I1" s="1" t="s">
        <v>18</v>
      </c>
      <c r="J1" s="1" t="s">
        <v>19</v>
      </c>
      <c r="K1" s="1" t="s">
        <v>20</v>
      </c>
      <c r="L1" s="1" t="s">
        <v>21</v>
      </c>
      <c r="M1" s="1" t="s">
        <v>22</v>
      </c>
    </row>
    <row r="2" spans="1:15" ht="23.25" x14ac:dyDescent="0.35">
      <c r="A2" s="1" t="s">
        <v>28</v>
      </c>
      <c r="B2" s="2">
        <v>44209</v>
      </c>
      <c r="C2" s="3">
        <v>0.68472222222222223</v>
      </c>
      <c r="D2" s="2">
        <v>44209</v>
      </c>
      <c r="E2" s="3">
        <v>0.68541666666666667</v>
      </c>
      <c r="F2" s="1" t="s">
        <v>10</v>
      </c>
      <c r="G2" s="1" t="s">
        <v>11</v>
      </c>
      <c r="H2" s="1">
        <v>2000</v>
      </c>
      <c r="I2" s="1" t="s">
        <v>3</v>
      </c>
      <c r="J2" s="1" t="s">
        <v>11</v>
      </c>
      <c r="K2" s="1"/>
      <c r="L2" s="1"/>
      <c r="M2" s="1" t="s">
        <v>29</v>
      </c>
      <c r="O2" s="4" t="s">
        <v>75</v>
      </c>
    </row>
    <row r="3" spans="1:15" x14ac:dyDescent="0.25">
      <c r="A3" s="1" t="s">
        <v>30</v>
      </c>
      <c r="B3" s="2">
        <v>44209</v>
      </c>
      <c r="C3" s="3">
        <v>0.68541666666666667</v>
      </c>
      <c r="D3" s="2">
        <v>44209</v>
      </c>
      <c r="E3" s="3">
        <v>0.85624999999999996</v>
      </c>
      <c r="F3" s="1" t="s">
        <v>10</v>
      </c>
      <c r="G3" s="1" t="s">
        <v>11</v>
      </c>
      <c r="H3" s="1">
        <v>2000</v>
      </c>
      <c r="I3" s="1" t="s">
        <v>3</v>
      </c>
      <c r="J3" s="1" t="s">
        <v>11</v>
      </c>
      <c r="K3" s="1"/>
      <c r="L3" s="1"/>
      <c r="M3" s="1" t="s">
        <v>17</v>
      </c>
    </row>
    <row r="4" spans="1:15" x14ac:dyDescent="0.25">
      <c r="A4" s="1" t="s">
        <v>31</v>
      </c>
      <c r="B4" s="2">
        <v>44209</v>
      </c>
      <c r="C4" s="3">
        <v>0.85624999999999996</v>
      </c>
      <c r="D4" s="2">
        <v>44209</v>
      </c>
      <c r="E4" s="3">
        <v>0.85763888888888884</v>
      </c>
      <c r="F4" s="1" t="s">
        <v>10</v>
      </c>
      <c r="G4" s="1" t="s">
        <v>11</v>
      </c>
      <c r="H4" s="1">
        <v>2000</v>
      </c>
      <c r="I4" s="1" t="s">
        <v>3</v>
      </c>
      <c r="J4" s="1" t="s">
        <v>11</v>
      </c>
      <c r="K4" s="1"/>
      <c r="L4" s="1"/>
      <c r="M4" s="1" t="s">
        <v>17</v>
      </c>
    </row>
    <row r="5" spans="1:15" x14ac:dyDescent="0.25">
      <c r="A5" s="1" t="s">
        <v>32</v>
      </c>
      <c r="B5" s="2">
        <v>44214</v>
      </c>
      <c r="C5" s="3">
        <v>0.41875000000000001</v>
      </c>
      <c r="D5" s="2">
        <v>44214</v>
      </c>
      <c r="E5" s="3">
        <v>0.41875000000000001</v>
      </c>
      <c r="F5" s="1" t="s">
        <v>10</v>
      </c>
      <c r="G5" s="1" t="s">
        <v>11</v>
      </c>
      <c r="H5" s="1">
        <v>2000</v>
      </c>
      <c r="I5" s="1" t="s">
        <v>3</v>
      </c>
      <c r="J5" s="1" t="s">
        <v>11</v>
      </c>
      <c r="K5" s="1"/>
      <c r="L5" s="1"/>
      <c r="M5" s="1" t="s">
        <v>29</v>
      </c>
    </row>
    <row r="6" spans="1:15" x14ac:dyDescent="0.25">
      <c r="A6" s="1" t="s">
        <v>28</v>
      </c>
      <c r="B6" s="2">
        <v>44214</v>
      </c>
      <c r="C6" s="3">
        <v>0.41944444444444445</v>
      </c>
      <c r="D6" s="2">
        <v>44214</v>
      </c>
      <c r="E6" s="3">
        <v>0.4201388888888889</v>
      </c>
      <c r="F6" s="1" t="s">
        <v>10</v>
      </c>
      <c r="G6" s="1" t="s">
        <v>11</v>
      </c>
      <c r="H6" s="1">
        <v>2000</v>
      </c>
      <c r="I6" s="1" t="s">
        <v>3</v>
      </c>
      <c r="J6" s="1" t="s">
        <v>11</v>
      </c>
      <c r="K6" s="1"/>
      <c r="L6" s="1"/>
      <c r="M6" s="1" t="s">
        <v>17</v>
      </c>
    </row>
    <row r="7" spans="1:15" x14ac:dyDescent="0.25">
      <c r="A7" s="1" t="s">
        <v>31</v>
      </c>
      <c r="B7" s="2">
        <v>44214</v>
      </c>
      <c r="C7" s="3">
        <v>0.4201388888888889</v>
      </c>
      <c r="D7" s="2">
        <v>44214</v>
      </c>
      <c r="E7" s="3">
        <v>0.42152777777777778</v>
      </c>
      <c r="F7" s="1" t="s">
        <v>10</v>
      </c>
      <c r="G7" s="1" t="s">
        <v>11</v>
      </c>
      <c r="H7" s="1">
        <v>2000</v>
      </c>
      <c r="I7" s="1" t="s">
        <v>3</v>
      </c>
      <c r="J7" s="1" t="s">
        <v>11</v>
      </c>
      <c r="K7" s="1"/>
      <c r="L7" s="1"/>
      <c r="M7" s="1" t="s">
        <v>17</v>
      </c>
    </row>
    <row r="8" spans="1:15" x14ac:dyDescent="0.25">
      <c r="A8" s="1" t="s">
        <v>31</v>
      </c>
      <c r="B8" s="2">
        <v>44214</v>
      </c>
      <c r="C8" s="3">
        <v>0.42777777777777776</v>
      </c>
      <c r="D8" s="2">
        <v>44214</v>
      </c>
      <c r="E8" s="3">
        <v>0.42916666666666664</v>
      </c>
      <c r="F8" s="1" t="s">
        <v>10</v>
      </c>
      <c r="G8" s="1" t="s">
        <v>11</v>
      </c>
      <c r="H8" s="1">
        <v>2000</v>
      </c>
      <c r="I8" s="1" t="s">
        <v>3</v>
      </c>
      <c r="J8" s="1" t="s">
        <v>11</v>
      </c>
      <c r="K8" s="1"/>
      <c r="L8" s="1"/>
      <c r="M8" s="1" t="s">
        <v>17</v>
      </c>
    </row>
    <row r="9" spans="1:15" x14ac:dyDescent="0.25">
      <c r="A9" s="1" t="s">
        <v>32</v>
      </c>
      <c r="B9" s="2">
        <v>44214</v>
      </c>
      <c r="C9" s="3">
        <v>0.42986111111111114</v>
      </c>
      <c r="D9" s="2">
        <v>44214</v>
      </c>
      <c r="E9" s="3">
        <v>0.42986111111111114</v>
      </c>
      <c r="F9" s="1" t="s">
        <v>10</v>
      </c>
      <c r="G9" s="1" t="s">
        <v>11</v>
      </c>
      <c r="H9" s="1">
        <v>2000</v>
      </c>
      <c r="I9" s="1" t="s">
        <v>3</v>
      </c>
      <c r="J9" s="1" t="s">
        <v>11</v>
      </c>
      <c r="K9" s="1"/>
      <c r="L9" s="1"/>
      <c r="M9" s="1" t="s">
        <v>17</v>
      </c>
    </row>
    <row r="10" spans="1:15" x14ac:dyDescent="0.25">
      <c r="A10" s="1" t="s">
        <v>33</v>
      </c>
      <c r="B10" s="2">
        <v>44214</v>
      </c>
      <c r="C10" s="3">
        <v>0.67152777777777772</v>
      </c>
      <c r="D10" s="2">
        <v>44214</v>
      </c>
      <c r="E10" s="3">
        <v>0.67361111111111116</v>
      </c>
      <c r="F10" s="1" t="s">
        <v>10</v>
      </c>
      <c r="G10" s="1" t="s">
        <v>11</v>
      </c>
      <c r="H10" s="1">
        <v>2000</v>
      </c>
      <c r="I10" s="1" t="s">
        <v>3</v>
      </c>
      <c r="J10" s="1" t="s">
        <v>11</v>
      </c>
      <c r="K10" s="1"/>
      <c r="L10" s="1"/>
      <c r="M10" s="1" t="s">
        <v>17</v>
      </c>
    </row>
    <row r="11" spans="1:15" x14ac:dyDescent="0.25">
      <c r="A11" s="1" t="s">
        <v>28</v>
      </c>
      <c r="B11" s="2">
        <v>44214</v>
      </c>
      <c r="C11" s="3">
        <v>0.67361111111111116</v>
      </c>
      <c r="D11" s="2">
        <v>44214</v>
      </c>
      <c r="E11" s="3">
        <v>0.6743055555555556</v>
      </c>
      <c r="F11" s="1" t="s">
        <v>10</v>
      </c>
      <c r="G11" s="1" t="s">
        <v>11</v>
      </c>
      <c r="H11" s="1">
        <v>2000</v>
      </c>
      <c r="I11" s="1" t="s">
        <v>3</v>
      </c>
      <c r="J11" s="1" t="s">
        <v>11</v>
      </c>
      <c r="K11" s="1"/>
      <c r="L11" s="1"/>
      <c r="M11" s="1" t="s">
        <v>29</v>
      </c>
    </row>
    <row r="12" spans="1:15" x14ac:dyDescent="0.25">
      <c r="A12" s="1" t="s">
        <v>34</v>
      </c>
      <c r="B12" s="2">
        <v>44214</v>
      </c>
      <c r="C12" s="3">
        <v>0.67569444444444449</v>
      </c>
      <c r="D12" s="2">
        <v>44214</v>
      </c>
      <c r="E12" s="3">
        <v>0.74236111111111114</v>
      </c>
      <c r="F12" s="1" t="s">
        <v>10</v>
      </c>
      <c r="G12" s="1" t="s">
        <v>11</v>
      </c>
      <c r="H12" s="1">
        <v>2000</v>
      </c>
      <c r="I12" s="1" t="s">
        <v>3</v>
      </c>
      <c r="J12" s="1" t="s">
        <v>11</v>
      </c>
      <c r="K12" s="1"/>
      <c r="L12" s="1"/>
      <c r="M12" s="1" t="s">
        <v>17</v>
      </c>
    </row>
    <row r="13" spans="1:15" x14ac:dyDescent="0.25">
      <c r="A13" s="1" t="s">
        <v>35</v>
      </c>
      <c r="B13" s="2">
        <v>44214</v>
      </c>
      <c r="C13" s="3">
        <v>0.70486111111111116</v>
      </c>
      <c r="D13" s="2">
        <v>44214</v>
      </c>
      <c r="E13" s="3">
        <v>0.74236111111111114</v>
      </c>
      <c r="F13" s="1" t="s">
        <v>12</v>
      </c>
      <c r="G13" s="1" t="s">
        <v>13</v>
      </c>
      <c r="H13" s="1">
        <v>123456789</v>
      </c>
      <c r="I13" s="1" t="s">
        <v>3</v>
      </c>
      <c r="J13" s="1" t="s">
        <v>13</v>
      </c>
      <c r="K13" s="1"/>
      <c r="L13" s="1"/>
      <c r="M13" s="1" t="s">
        <v>36</v>
      </c>
    </row>
    <row r="14" spans="1:15" x14ac:dyDescent="0.25">
      <c r="A14" s="1" t="s">
        <v>37</v>
      </c>
      <c r="B14" s="2">
        <v>44214</v>
      </c>
      <c r="C14" s="3">
        <v>0.74375000000000002</v>
      </c>
      <c r="D14" s="2">
        <v>44215</v>
      </c>
      <c r="E14" s="3">
        <v>0.60486111111111107</v>
      </c>
      <c r="F14" s="1" t="s">
        <v>12</v>
      </c>
      <c r="G14" s="1" t="s">
        <v>13</v>
      </c>
      <c r="H14" s="1">
        <v>123456789</v>
      </c>
      <c r="I14" s="1" t="s">
        <v>3</v>
      </c>
      <c r="J14" s="1" t="s">
        <v>13</v>
      </c>
      <c r="K14" s="1"/>
      <c r="L14" s="1"/>
      <c r="M14" s="1" t="s">
        <v>17</v>
      </c>
    </row>
    <row r="15" spans="1:15" x14ac:dyDescent="0.25">
      <c r="A15" s="1" t="s">
        <v>28</v>
      </c>
      <c r="B15" s="2">
        <v>44215</v>
      </c>
      <c r="C15" s="3">
        <v>0.60416666666666663</v>
      </c>
      <c r="D15" s="2">
        <v>44215</v>
      </c>
      <c r="E15" s="3">
        <v>0.60486111111111107</v>
      </c>
      <c r="F15" s="1" t="s">
        <v>12</v>
      </c>
      <c r="G15" s="1" t="s">
        <v>13</v>
      </c>
      <c r="H15" s="1">
        <v>123456789</v>
      </c>
      <c r="I15" s="1" t="s">
        <v>3</v>
      </c>
      <c r="J15" s="1" t="s">
        <v>13</v>
      </c>
      <c r="K15" s="1"/>
      <c r="L15" s="1"/>
      <c r="M15" s="1" t="s">
        <v>36</v>
      </c>
    </row>
    <row r="16" spans="1:15" x14ac:dyDescent="0.25">
      <c r="A16" s="1" t="s">
        <v>38</v>
      </c>
      <c r="B16" s="2">
        <v>44215</v>
      </c>
      <c r="C16" s="3">
        <v>0.60486111111111107</v>
      </c>
      <c r="D16" s="2">
        <v>44215</v>
      </c>
      <c r="E16" s="3">
        <v>0.60763888888888884</v>
      </c>
      <c r="F16" s="1" t="s">
        <v>12</v>
      </c>
      <c r="G16" s="1" t="s">
        <v>13</v>
      </c>
      <c r="H16" s="1">
        <v>123456789</v>
      </c>
      <c r="I16" s="1" t="s">
        <v>3</v>
      </c>
      <c r="J16" s="1" t="s">
        <v>13</v>
      </c>
      <c r="K16" s="1"/>
      <c r="L16" s="1"/>
      <c r="M16" s="1" t="s">
        <v>17</v>
      </c>
    </row>
    <row r="17" spans="1:13" x14ac:dyDescent="0.25">
      <c r="A17" s="1" t="s">
        <v>28</v>
      </c>
      <c r="B17" s="2">
        <v>44215</v>
      </c>
      <c r="C17" s="3">
        <v>0.60833333333333328</v>
      </c>
      <c r="D17" s="2">
        <v>44215</v>
      </c>
      <c r="E17" s="3">
        <v>0.60902777777777772</v>
      </c>
      <c r="F17" s="1" t="s">
        <v>12</v>
      </c>
      <c r="G17" s="1" t="s">
        <v>13</v>
      </c>
      <c r="H17" s="1">
        <v>123456789</v>
      </c>
      <c r="I17" s="1" t="s">
        <v>3</v>
      </c>
      <c r="J17" s="1" t="s">
        <v>13</v>
      </c>
      <c r="K17" s="1"/>
      <c r="L17" s="1"/>
      <c r="M17" s="1" t="s">
        <v>39</v>
      </c>
    </row>
    <row r="18" spans="1:13" x14ac:dyDescent="0.25">
      <c r="A18" s="1" t="s">
        <v>31</v>
      </c>
      <c r="B18" s="2">
        <v>44215</v>
      </c>
      <c r="C18" s="3">
        <v>0.60902777777777772</v>
      </c>
      <c r="D18" s="2">
        <v>44215</v>
      </c>
      <c r="E18" s="3">
        <v>0.61041666666666672</v>
      </c>
      <c r="F18" s="1" t="s">
        <v>12</v>
      </c>
      <c r="G18" s="1" t="s">
        <v>13</v>
      </c>
      <c r="H18" s="1">
        <v>123456789</v>
      </c>
      <c r="I18" s="1" t="s">
        <v>3</v>
      </c>
      <c r="J18" s="1" t="s">
        <v>13</v>
      </c>
      <c r="K18" s="1"/>
      <c r="L18" s="1"/>
      <c r="M18" s="1" t="s">
        <v>17</v>
      </c>
    </row>
    <row r="19" spans="1:13" x14ac:dyDescent="0.25">
      <c r="A19" s="1" t="s">
        <v>32</v>
      </c>
      <c r="B19" s="2">
        <v>44215</v>
      </c>
      <c r="C19" s="3">
        <v>0.71458333333333335</v>
      </c>
      <c r="D19" s="2">
        <v>44215</v>
      </c>
      <c r="E19" s="3">
        <v>0.71458333333333335</v>
      </c>
      <c r="F19" s="1" t="s">
        <v>12</v>
      </c>
      <c r="G19" s="1" t="s">
        <v>13</v>
      </c>
      <c r="H19" s="1">
        <v>123456789</v>
      </c>
      <c r="I19" s="1" t="s">
        <v>3</v>
      </c>
      <c r="J19" s="1" t="s">
        <v>13</v>
      </c>
      <c r="K19" s="1"/>
      <c r="L19" s="1"/>
      <c r="M19" s="1" t="s">
        <v>36</v>
      </c>
    </row>
    <row r="20" spans="1:13" x14ac:dyDescent="0.25">
      <c r="A20" s="1" t="s">
        <v>40</v>
      </c>
      <c r="B20" s="2">
        <v>44215</v>
      </c>
      <c r="C20" s="3">
        <v>0.71458333333333335</v>
      </c>
      <c r="D20" s="2">
        <v>44219</v>
      </c>
      <c r="E20" s="3">
        <v>0.6791666666666667</v>
      </c>
      <c r="F20" s="1" t="s">
        <v>12</v>
      </c>
      <c r="G20" s="1" t="s">
        <v>13</v>
      </c>
      <c r="H20" s="1">
        <v>123456789</v>
      </c>
      <c r="I20" s="1" t="s">
        <v>3</v>
      </c>
      <c r="J20" s="1" t="s">
        <v>13</v>
      </c>
      <c r="K20" s="1"/>
      <c r="L20" s="1"/>
      <c r="M20" s="1" t="s">
        <v>17</v>
      </c>
    </row>
    <row r="21" spans="1:13" x14ac:dyDescent="0.25">
      <c r="A21" s="1" t="s">
        <v>41</v>
      </c>
      <c r="B21" s="2">
        <v>44217</v>
      </c>
      <c r="C21" s="3">
        <v>0.62222222222222223</v>
      </c>
      <c r="D21" s="2">
        <v>44219</v>
      </c>
      <c r="E21" s="3">
        <v>0.6791666666666667</v>
      </c>
      <c r="F21" s="1" t="s">
        <v>10</v>
      </c>
      <c r="G21" s="1" t="s">
        <v>11</v>
      </c>
      <c r="H21" s="1">
        <v>2000</v>
      </c>
      <c r="I21" s="1" t="s">
        <v>3</v>
      </c>
      <c r="J21" s="1" t="s">
        <v>11</v>
      </c>
      <c r="K21" s="1"/>
      <c r="L21" s="1"/>
      <c r="M21" s="1" t="s">
        <v>17</v>
      </c>
    </row>
    <row r="22" spans="1:13" x14ac:dyDescent="0.25">
      <c r="A22" s="1" t="s">
        <v>42</v>
      </c>
      <c r="B22" s="2">
        <v>44218</v>
      </c>
      <c r="C22" s="3">
        <v>0.48194444444444445</v>
      </c>
      <c r="D22" s="2">
        <v>44219</v>
      </c>
      <c r="E22" s="3">
        <v>0.6791666666666667</v>
      </c>
      <c r="F22" s="1" t="s">
        <v>10</v>
      </c>
      <c r="G22" s="1" t="s">
        <v>11</v>
      </c>
      <c r="H22" s="1">
        <v>2000</v>
      </c>
      <c r="I22" s="1" t="s">
        <v>3</v>
      </c>
      <c r="J22" s="1" t="s">
        <v>11</v>
      </c>
      <c r="K22" s="1"/>
      <c r="L22" s="1"/>
      <c r="M22" s="1" t="s">
        <v>17</v>
      </c>
    </row>
    <row r="23" spans="1:13" x14ac:dyDescent="0.25">
      <c r="A23" s="1" t="s">
        <v>43</v>
      </c>
      <c r="B23" s="2">
        <v>44219</v>
      </c>
      <c r="C23" s="3">
        <v>0.5756944444444444</v>
      </c>
      <c r="D23" s="2">
        <v>44219</v>
      </c>
      <c r="E23" s="3">
        <v>0.6791666666666667</v>
      </c>
      <c r="F23" s="1"/>
      <c r="G23" s="1"/>
      <c r="H23" s="1"/>
      <c r="I23" s="1" t="s">
        <v>3</v>
      </c>
      <c r="J23" s="1"/>
      <c r="K23" s="1"/>
      <c r="L23" s="1"/>
      <c r="M23" s="1" t="s">
        <v>29</v>
      </c>
    </row>
    <row r="24" spans="1:13" x14ac:dyDescent="0.25">
      <c r="A24" s="1" t="s">
        <v>43</v>
      </c>
      <c r="B24" s="2">
        <v>44219</v>
      </c>
      <c r="C24" s="3">
        <v>0.5756944444444444</v>
      </c>
      <c r="D24" s="2">
        <v>44219</v>
      </c>
      <c r="E24" s="3">
        <v>0.6791666666666667</v>
      </c>
      <c r="F24" s="1"/>
      <c r="G24" s="1"/>
      <c r="H24" s="1"/>
      <c r="I24" s="1" t="s">
        <v>3</v>
      </c>
      <c r="J24" s="1"/>
      <c r="K24" s="1"/>
      <c r="L24" s="1"/>
      <c r="M24" s="1" t="s">
        <v>29</v>
      </c>
    </row>
    <row r="25" spans="1:13" x14ac:dyDescent="0.25">
      <c r="A25" s="1" t="s">
        <v>44</v>
      </c>
      <c r="B25" s="2">
        <v>44219</v>
      </c>
      <c r="C25" s="3">
        <v>0.57638888888888884</v>
      </c>
      <c r="D25" s="2">
        <v>44219</v>
      </c>
      <c r="E25" s="3">
        <v>0.6791666666666667</v>
      </c>
      <c r="F25" s="1"/>
      <c r="G25" s="1"/>
      <c r="H25" s="1"/>
      <c r="I25" s="1" t="s">
        <v>3</v>
      </c>
      <c r="J25" s="1"/>
      <c r="K25" s="1"/>
      <c r="L25" s="1"/>
      <c r="M25" s="1" t="s">
        <v>29</v>
      </c>
    </row>
    <row r="26" spans="1:13" x14ac:dyDescent="0.25">
      <c r="A26" s="1" t="s">
        <v>44</v>
      </c>
      <c r="B26" s="2">
        <v>44219</v>
      </c>
      <c r="C26" s="3">
        <v>0.57638888888888884</v>
      </c>
      <c r="D26" s="2">
        <v>44219</v>
      </c>
      <c r="E26" s="3">
        <v>0.6791666666666667</v>
      </c>
      <c r="F26" s="1"/>
      <c r="G26" s="1"/>
      <c r="H26" s="1"/>
      <c r="I26" s="1" t="s">
        <v>3</v>
      </c>
      <c r="J26" s="1"/>
      <c r="K26" s="1"/>
      <c r="L26" s="1"/>
      <c r="M26" s="1" t="s">
        <v>29</v>
      </c>
    </row>
    <row r="27" spans="1:13" x14ac:dyDescent="0.25">
      <c r="A27" s="1" t="s">
        <v>33</v>
      </c>
      <c r="B27" s="2">
        <v>44219</v>
      </c>
      <c r="C27" s="3">
        <v>0.67708333333333337</v>
      </c>
      <c r="D27" s="2">
        <v>44219</v>
      </c>
      <c r="E27" s="3">
        <v>0.6791666666666667</v>
      </c>
      <c r="F27" s="1"/>
      <c r="G27" s="1"/>
      <c r="H27" s="1"/>
      <c r="I27" s="1" t="s">
        <v>3</v>
      </c>
      <c r="J27" s="1"/>
      <c r="K27" s="1"/>
      <c r="L27" s="1"/>
      <c r="M27" s="1" t="s">
        <v>17</v>
      </c>
    </row>
    <row r="28" spans="1:13" x14ac:dyDescent="0.25">
      <c r="A28" s="1" t="s">
        <v>31</v>
      </c>
      <c r="B28" s="2">
        <v>44219</v>
      </c>
      <c r="C28" s="3">
        <v>0.67777777777777781</v>
      </c>
      <c r="D28" s="2">
        <v>44219</v>
      </c>
      <c r="E28" s="3">
        <v>0.6791666666666667</v>
      </c>
      <c r="F28" s="1"/>
      <c r="G28" s="1"/>
      <c r="H28" s="1"/>
      <c r="I28" s="1" t="s">
        <v>3</v>
      </c>
      <c r="J28" s="1"/>
      <c r="K28" s="1"/>
      <c r="L28" s="1"/>
      <c r="M28" s="1" t="s">
        <v>17</v>
      </c>
    </row>
    <row r="29" spans="1:13" x14ac:dyDescent="0.25">
      <c r="A29" s="1" t="s">
        <v>31</v>
      </c>
      <c r="B29" s="2">
        <v>44219</v>
      </c>
      <c r="C29" s="3">
        <v>0.67777777777777781</v>
      </c>
      <c r="D29" s="2">
        <v>44219</v>
      </c>
      <c r="E29" s="3">
        <v>0.6791666666666667</v>
      </c>
      <c r="F29" s="1"/>
      <c r="G29" s="1"/>
      <c r="H29" s="1"/>
      <c r="I29" s="1" t="s">
        <v>3</v>
      </c>
      <c r="J29" s="1"/>
      <c r="K29" s="1"/>
      <c r="L29" s="1"/>
      <c r="M29" s="1" t="s">
        <v>17</v>
      </c>
    </row>
    <row r="30" spans="1:13" x14ac:dyDescent="0.25">
      <c r="A30" s="1" t="s">
        <v>28</v>
      </c>
      <c r="B30" s="2">
        <v>44219</v>
      </c>
      <c r="C30" s="3">
        <v>0.67847222222222225</v>
      </c>
      <c r="D30" s="2">
        <v>44219</v>
      </c>
      <c r="E30" s="3">
        <v>0.6791666666666667</v>
      </c>
      <c r="F30" s="1" t="s">
        <v>10</v>
      </c>
      <c r="G30" s="1" t="s">
        <v>11</v>
      </c>
      <c r="H30" s="1">
        <v>2000</v>
      </c>
      <c r="I30" s="1" t="s">
        <v>3</v>
      </c>
      <c r="J30" s="1" t="s">
        <v>11</v>
      </c>
      <c r="K30" s="1"/>
      <c r="L30" s="1"/>
      <c r="M30" s="1" t="s">
        <v>17</v>
      </c>
    </row>
    <row r="31" spans="1:13" x14ac:dyDescent="0.25">
      <c r="A31" s="1" t="s">
        <v>45</v>
      </c>
      <c r="B31" s="2">
        <v>44219</v>
      </c>
      <c r="C31" s="3">
        <v>0.67986111111111114</v>
      </c>
      <c r="D31" s="2">
        <v>44221</v>
      </c>
      <c r="E31" s="3">
        <v>0.41597222222222224</v>
      </c>
      <c r="F31" s="1"/>
      <c r="G31" s="1"/>
      <c r="H31" s="1"/>
      <c r="I31" s="1" t="s">
        <v>3</v>
      </c>
      <c r="J31" s="1"/>
      <c r="K31" s="1"/>
      <c r="L31" s="1"/>
      <c r="M31" s="1" t="s">
        <v>17</v>
      </c>
    </row>
    <row r="32" spans="1:13" x14ac:dyDescent="0.25">
      <c r="A32" s="1" t="s">
        <v>45</v>
      </c>
      <c r="B32" s="2">
        <v>44219</v>
      </c>
      <c r="C32" s="3">
        <v>0.67986111111111114</v>
      </c>
      <c r="D32" s="2">
        <v>44221</v>
      </c>
      <c r="E32" s="3">
        <v>0.41597222222222224</v>
      </c>
      <c r="F32" s="1"/>
      <c r="G32" s="1"/>
      <c r="H32" s="1"/>
      <c r="I32" s="1" t="s">
        <v>3</v>
      </c>
      <c r="J32" s="1"/>
      <c r="K32" s="1"/>
      <c r="L32" s="1"/>
      <c r="M32" s="1" t="s">
        <v>17</v>
      </c>
    </row>
    <row r="33" spans="1:13" x14ac:dyDescent="0.25">
      <c r="A33" s="1" t="s">
        <v>46</v>
      </c>
      <c r="B33" s="2">
        <v>44219</v>
      </c>
      <c r="C33" s="3">
        <v>0.68055555555555558</v>
      </c>
      <c r="D33" s="2">
        <v>44221</v>
      </c>
      <c r="E33" s="3">
        <v>0.41597222222222224</v>
      </c>
      <c r="F33" s="1"/>
      <c r="G33" s="1"/>
      <c r="H33" s="1"/>
      <c r="I33" s="1" t="s">
        <v>3</v>
      </c>
      <c r="J33" s="1"/>
      <c r="K33" s="1"/>
      <c r="L33" s="1"/>
      <c r="M33" s="1" t="s">
        <v>29</v>
      </c>
    </row>
    <row r="34" spans="1:13" x14ac:dyDescent="0.25">
      <c r="A34" s="1" t="s">
        <v>46</v>
      </c>
      <c r="B34" s="2">
        <v>44219</v>
      </c>
      <c r="C34" s="3">
        <v>0.68055555555555558</v>
      </c>
      <c r="D34" s="2">
        <v>44221</v>
      </c>
      <c r="E34" s="3">
        <v>0.41597222222222224</v>
      </c>
      <c r="F34" s="1"/>
      <c r="G34" s="1"/>
      <c r="H34" s="1"/>
      <c r="I34" s="1" t="s">
        <v>3</v>
      </c>
      <c r="J34" s="1"/>
      <c r="K34" s="1"/>
      <c r="L34" s="1"/>
      <c r="M34" s="1" t="s">
        <v>29</v>
      </c>
    </row>
    <row r="35" spans="1:13" x14ac:dyDescent="0.25">
      <c r="A35" s="1" t="s">
        <v>47</v>
      </c>
      <c r="B35" s="2">
        <v>44221</v>
      </c>
      <c r="C35" s="3">
        <v>0.39374999999999999</v>
      </c>
      <c r="D35" s="2">
        <v>44221</v>
      </c>
      <c r="E35" s="3">
        <v>0.41597222222222224</v>
      </c>
      <c r="F35" s="1"/>
      <c r="G35" s="1"/>
      <c r="H35" s="1"/>
      <c r="I35" s="1" t="s">
        <v>3</v>
      </c>
      <c r="J35" s="1"/>
      <c r="K35" s="1"/>
      <c r="L35" s="1"/>
      <c r="M35" s="1" t="s">
        <v>39</v>
      </c>
    </row>
    <row r="36" spans="1:13" x14ac:dyDescent="0.25">
      <c r="A36" s="1" t="s">
        <v>47</v>
      </c>
      <c r="B36" s="2">
        <v>44221</v>
      </c>
      <c r="C36" s="3">
        <v>0.39374999999999999</v>
      </c>
      <c r="D36" s="2">
        <v>44221</v>
      </c>
      <c r="E36" s="3">
        <v>0.41597222222222224</v>
      </c>
      <c r="F36" s="1" t="s">
        <v>10</v>
      </c>
      <c r="G36" s="1" t="s">
        <v>11</v>
      </c>
      <c r="H36" s="1">
        <v>2000</v>
      </c>
      <c r="I36" s="1" t="s">
        <v>3</v>
      </c>
      <c r="J36" s="1" t="s">
        <v>11</v>
      </c>
      <c r="K36" s="1"/>
      <c r="L36" s="1"/>
      <c r="M36" s="1" t="s">
        <v>39</v>
      </c>
    </row>
    <row r="37" spans="1:13" x14ac:dyDescent="0.25">
      <c r="A37" s="1" t="s">
        <v>48</v>
      </c>
      <c r="B37" s="2">
        <v>44221</v>
      </c>
      <c r="C37" s="3">
        <v>0.39791666666666664</v>
      </c>
      <c r="D37" s="2">
        <v>44221</v>
      </c>
      <c r="E37" s="3">
        <v>0.41597222222222224</v>
      </c>
      <c r="F37" s="1"/>
      <c r="G37" s="1"/>
      <c r="H37" s="1"/>
      <c r="I37" s="1" t="s">
        <v>3</v>
      </c>
      <c r="J37" s="1"/>
      <c r="K37" s="1"/>
      <c r="L37" s="1"/>
      <c r="M37" s="1" t="s">
        <v>39</v>
      </c>
    </row>
    <row r="38" spans="1:13" x14ac:dyDescent="0.25">
      <c r="A38" s="1" t="s">
        <v>49</v>
      </c>
      <c r="B38" s="2">
        <v>44221</v>
      </c>
      <c r="C38" s="3">
        <v>0.39930555555555558</v>
      </c>
      <c r="D38" s="2">
        <v>44221</v>
      </c>
      <c r="E38" s="3">
        <v>0.41597222222222224</v>
      </c>
      <c r="F38" s="1" t="s">
        <v>8</v>
      </c>
      <c r="G38" s="1" t="s">
        <v>9</v>
      </c>
      <c r="H38" s="1">
        <v>1000</v>
      </c>
      <c r="I38" s="1" t="s">
        <v>3</v>
      </c>
      <c r="J38" s="1" t="s">
        <v>9</v>
      </c>
      <c r="K38" s="1"/>
      <c r="L38" s="1"/>
      <c r="M38" s="1" t="s">
        <v>17</v>
      </c>
    </row>
    <row r="39" spans="1:13" x14ac:dyDescent="0.25">
      <c r="A39" s="1" t="s">
        <v>28</v>
      </c>
      <c r="B39" s="2">
        <v>44221</v>
      </c>
      <c r="C39" s="3">
        <v>0.41597222222222224</v>
      </c>
      <c r="D39" s="2">
        <v>44221</v>
      </c>
      <c r="E39" s="3">
        <v>0.41666666666666669</v>
      </c>
      <c r="F39" s="1" t="s">
        <v>10</v>
      </c>
      <c r="G39" s="1" t="s">
        <v>11</v>
      </c>
      <c r="H39" s="1">
        <v>2000</v>
      </c>
      <c r="I39" s="1" t="s">
        <v>3</v>
      </c>
      <c r="J39" s="1" t="s">
        <v>11</v>
      </c>
      <c r="K39" s="1"/>
      <c r="L39" s="1"/>
      <c r="M39" s="1" t="s">
        <v>17</v>
      </c>
    </row>
    <row r="40" spans="1:13" x14ac:dyDescent="0.25">
      <c r="A40" s="1" t="s">
        <v>28</v>
      </c>
      <c r="B40" s="2">
        <v>44221</v>
      </c>
      <c r="C40" s="3">
        <v>0.41597222222222224</v>
      </c>
      <c r="D40" s="2">
        <v>44221</v>
      </c>
      <c r="E40" s="3">
        <v>0.41666666666666669</v>
      </c>
      <c r="F40" s="1" t="s">
        <v>8</v>
      </c>
      <c r="G40" s="1" t="s">
        <v>9</v>
      </c>
      <c r="H40" s="1">
        <v>1000</v>
      </c>
      <c r="I40" s="1" t="s">
        <v>3</v>
      </c>
      <c r="J40" s="1" t="s">
        <v>9</v>
      </c>
      <c r="K40" s="1"/>
      <c r="L40" s="1"/>
      <c r="M40" s="1" t="s">
        <v>17</v>
      </c>
    </row>
    <row r="41" spans="1:13" x14ac:dyDescent="0.25">
      <c r="A41" s="1" t="s">
        <v>50</v>
      </c>
      <c r="B41" s="2">
        <v>44221</v>
      </c>
      <c r="C41" s="3">
        <v>0.37291666666666667</v>
      </c>
      <c r="D41" s="2">
        <v>44221</v>
      </c>
      <c r="E41" s="3">
        <v>0.50624999999999998</v>
      </c>
      <c r="F41" s="1" t="s">
        <v>12</v>
      </c>
      <c r="G41" s="1" t="s">
        <v>13</v>
      </c>
      <c r="H41" s="1">
        <v>123456789</v>
      </c>
      <c r="I41" s="1"/>
      <c r="J41" s="1" t="s">
        <v>13</v>
      </c>
      <c r="K41" s="1"/>
      <c r="L41" s="1"/>
      <c r="M41" s="1" t="s">
        <v>39</v>
      </c>
    </row>
    <row r="42" spans="1:13" x14ac:dyDescent="0.25">
      <c r="A42" s="1" t="s">
        <v>28</v>
      </c>
      <c r="B42" s="2">
        <v>44221</v>
      </c>
      <c r="C42" s="3">
        <v>0.50694444444444442</v>
      </c>
      <c r="D42" s="2">
        <v>44221</v>
      </c>
      <c r="E42" s="3">
        <v>0.50763888888888886</v>
      </c>
      <c r="F42" s="1" t="s">
        <v>10</v>
      </c>
      <c r="G42" s="1" t="s">
        <v>11</v>
      </c>
      <c r="H42" s="1">
        <v>2000</v>
      </c>
      <c r="I42" s="1" t="s">
        <v>3</v>
      </c>
      <c r="J42" s="1" t="s">
        <v>11</v>
      </c>
      <c r="K42" s="1"/>
      <c r="L42" s="1"/>
      <c r="M42" s="1" t="s">
        <v>17</v>
      </c>
    </row>
    <row r="43" spans="1:13" x14ac:dyDescent="0.25">
      <c r="A43" s="1" t="s">
        <v>28</v>
      </c>
      <c r="B43" s="2">
        <v>44221</v>
      </c>
      <c r="C43" s="3">
        <v>0.50694444444444442</v>
      </c>
      <c r="D43" s="2">
        <v>44221</v>
      </c>
      <c r="E43" s="3">
        <v>0.50763888888888886</v>
      </c>
      <c r="F43" s="1" t="s">
        <v>8</v>
      </c>
      <c r="G43" s="1" t="s">
        <v>9</v>
      </c>
      <c r="H43" s="1">
        <v>1000</v>
      </c>
      <c r="I43" s="1" t="s">
        <v>3</v>
      </c>
      <c r="J43" s="1" t="s">
        <v>9</v>
      </c>
      <c r="K43" s="1"/>
      <c r="L43" s="1"/>
      <c r="M43" s="1" t="s">
        <v>17</v>
      </c>
    </row>
    <row r="44" spans="1:13" x14ac:dyDescent="0.25">
      <c r="A44" s="1" t="s">
        <v>28</v>
      </c>
      <c r="B44" s="2">
        <v>44221</v>
      </c>
      <c r="C44" s="3">
        <v>0.50694444444444442</v>
      </c>
      <c r="D44" s="2">
        <v>44221</v>
      </c>
      <c r="E44" s="3">
        <v>0.50763888888888886</v>
      </c>
      <c r="F44" s="1"/>
      <c r="G44" s="1"/>
      <c r="H44" s="1"/>
      <c r="I44" s="1" t="s">
        <v>3</v>
      </c>
      <c r="J44" s="1"/>
      <c r="K44" s="1"/>
      <c r="L44" s="1"/>
      <c r="M44" s="1" t="s">
        <v>17</v>
      </c>
    </row>
    <row r="45" spans="1:13" x14ac:dyDescent="0.25">
      <c r="A45" s="1" t="s">
        <v>28</v>
      </c>
      <c r="B45" s="2">
        <v>44221</v>
      </c>
      <c r="C45" s="3">
        <v>0.50694444444444442</v>
      </c>
      <c r="D45" s="2">
        <v>44221</v>
      </c>
      <c r="E45" s="3">
        <v>0.50763888888888886</v>
      </c>
      <c r="F45" s="1" t="s">
        <v>16</v>
      </c>
      <c r="G45" s="1" t="s">
        <v>116</v>
      </c>
      <c r="H45" s="1">
        <v>13</v>
      </c>
      <c r="I45" s="1" t="s">
        <v>3</v>
      </c>
      <c r="J45" s="1" t="s">
        <v>116</v>
      </c>
      <c r="K45" s="1"/>
      <c r="L45" s="1"/>
      <c r="M45" s="1" t="s">
        <v>17</v>
      </c>
    </row>
    <row r="46" spans="1:13" x14ac:dyDescent="0.25">
      <c r="A46" s="1" t="s">
        <v>28</v>
      </c>
      <c r="B46" s="2">
        <v>44221</v>
      </c>
      <c r="C46" s="3">
        <v>0.50694444444444442</v>
      </c>
      <c r="D46" s="2">
        <v>44221</v>
      </c>
      <c r="E46" s="3">
        <v>0.50763888888888886</v>
      </c>
      <c r="F46" s="1" t="s">
        <v>12</v>
      </c>
      <c r="G46" s="1" t="s">
        <v>13</v>
      </c>
      <c r="H46" s="1">
        <v>123456789</v>
      </c>
      <c r="I46" s="1" t="s">
        <v>3</v>
      </c>
      <c r="J46" s="1" t="s">
        <v>13</v>
      </c>
      <c r="K46" s="1"/>
      <c r="L46" s="1"/>
      <c r="M46" s="1" t="s">
        <v>17</v>
      </c>
    </row>
    <row r="47" spans="1:13" x14ac:dyDescent="0.25">
      <c r="A47" s="1" t="s">
        <v>28</v>
      </c>
      <c r="B47" s="2">
        <v>44221</v>
      </c>
      <c r="C47" s="3">
        <v>0.50902777777777775</v>
      </c>
      <c r="D47" s="2">
        <v>44221</v>
      </c>
      <c r="E47" s="3">
        <v>0.50972222222222219</v>
      </c>
      <c r="F47" s="1" t="s">
        <v>10</v>
      </c>
      <c r="G47" s="1" t="s">
        <v>11</v>
      </c>
      <c r="H47" s="1">
        <v>2000</v>
      </c>
      <c r="I47" s="1" t="s">
        <v>3</v>
      </c>
      <c r="J47" s="1" t="s">
        <v>11</v>
      </c>
      <c r="K47" s="1"/>
      <c r="L47" s="1"/>
      <c r="M47" s="1" t="s">
        <v>17</v>
      </c>
    </row>
    <row r="48" spans="1:13" x14ac:dyDescent="0.25">
      <c r="A48" s="1" t="s">
        <v>28</v>
      </c>
      <c r="B48" s="2">
        <v>44221</v>
      </c>
      <c r="C48" s="3">
        <v>0.50902777777777775</v>
      </c>
      <c r="D48" s="2">
        <v>44221</v>
      </c>
      <c r="E48" s="3">
        <v>0.50972222222222219</v>
      </c>
      <c r="F48" s="1" t="s">
        <v>8</v>
      </c>
      <c r="G48" s="1" t="s">
        <v>9</v>
      </c>
      <c r="H48" s="1">
        <v>1000</v>
      </c>
      <c r="I48" s="1" t="s">
        <v>3</v>
      </c>
      <c r="J48" s="1" t="s">
        <v>9</v>
      </c>
      <c r="K48" s="1"/>
      <c r="L48" s="1"/>
      <c r="M48" s="1" t="s">
        <v>17</v>
      </c>
    </row>
    <row r="49" spans="1:13" x14ac:dyDescent="0.25">
      <c r="A49" s="1" t="s">
        <v>28</v>
      </c>
      <c r="B49" s="2">
        <v>44221</v>
      </c>
      <c r="C49" s="3">
        <v>0.50902777777777775</v>
      </c>
      <c r="D49" s="2">
        <v>44221</v>
      </c>
      <c r="E49" s="3">
        <v>0.50972222222222219</v>
      </c>
      <c r="F49" s="1"/>
      <c r="G49" s="1"/>
      <c r="H49" s="1"/>
      <c r="I49" s="1" t="s">
        <v>3</v>
      </c>
      <c r="J49" s="1"/>
      <c r="K49" s="1"/>
      <c r="L49" s="1"/>
      <c r="M49" s="1" t="s">
        <v>17</v>
      </c>
    </row>
    <row r="50" spans="1:13" x14ac:dyDescent="0.25">
      <c r="A50" s="1" t="s">
        <v>28</v>
      </c>
      <c r="B50" s="2">
        <v>44221</v>
      </c>
      <c r="C50" s="3">
        <v>0.50902777777777775</v>
      </c>
      <c r="D50" s="2">
        <v>44221</v>
      </c>
      <c r="E50" s="3">
        <v>0.50972222222222219</v>
      </c>
      <c r="F50" s="1" t="s">
        <v>16</v>
      </c>
      <c r="G50" s="1" t="s">
        <v>116</v>
      </c>
      <c r="H50" s="1">
        <v>13</v>
      </c>
      <c r="I50" s="1" t="s">
        <v>3</v>
      </c>
      <c r="J50" s="1" t="s">
        <v>116</v>
      </c>
      <c r="K50" s="1"/>
      <c r="L50" s="1"/>
      <c r="M50" s="1" t="s">
        <v>17</v>
      </c>
    </row>
    <row r="51" spans="1:13" x14ac:dyDescent="0.25">
      <c r="A51" s="1" t="s">
        <v>28</v>
      </c>
      <c r="B51" s="2">
        <v>44221</v>
      </c>
      <c r="C51" s="3">
        <v>0.50902777777777775</v>
      </c>
      <c r="D51" s="2">
        <v>44221</v>
      </c>
      <c r="E51" s="3">
        <v>0.50972222222222219</v>
      </c>
      <c r="F51" s="1" t="s">
        <v>12</v>
      </c>
      <c r="G51" s="1" t="s">
        <v>13</v>
      </c>
      <c r="H51" s="1">
        <v>123456789</v>
      </c>
      <c r="I51" s="1" t="s">
        <v>3</v>
      </c>
      <c r="J51" s="1" t="s">
        <v>13</v>
      </c>
      <c r="K51" s="1"/>
      <c r="L51" s="1"/>
      <c r="M51" s="1" t="s">
        <v>17</v>
      </c>
    </row>
    <row r="52" spans="1:13" x14ac:dyDescent="0.25">
      <c r="A52" s="1" t="s">
        <v>28</v>
      </c>
      <c r="B52" s="2">
        <v>44221</v>
      </c>
      <c r="C52" s="3">
        <v>0.5180555555555556</v>
      </c>
      <c r="D52" s="2">
        <v>44221</v>
      </c>
      <c r="E52" s="3">
        <v>0.51875000000000004</v>
      </c>
      <c r="F52" s="1" t="s">
        <v>8</v>
      </c>
      <c r="G52" s="1" t="s">
        <v>9</v>
      </c>
      <c r="H52" s="1">
        <v>1000</v>
      </c>
      <c r="I52" s="1" t="s">
        <v>3</v>
      </c>
      <c r="J52" s="1" t="s">
        <v>9</v>
      </c>
      <c r="K52" s="1"/>
      <c r="L52" s="1"/>
      <c r="M52" s="1" t="s">
        <v>17</v>
      </c>
    </row>
    <row r="53" spans="1:13" x14ac:dyDescent="0.25">
      <c r="A53" s="1" t="s">
        <v>28</v>
      </c>
      <c r="B53" s="2">
        <v>44221</v>
      </c>
      <c r="C53" s="3">
        <v>0.5180555555555556</v>
      </c>
      <c r="D53" s="2">
        <v>44221</v>
      </c>
      <c r="E53" s="3">
        <v>0.51875000000000004</v>
      </c>
      <c r="F53" s="1"/>
      <c r="G53" s="1"/>
      <c r="H53" s="1"/>
      <c r="I53" s="1" t="s">
        <v>3</v>
      </c>
      <c r="J53" s="1"/>
      <c r="K53" s="1"/>
      <c r="L53" s="1"/>
      <c r="M53" s="1" t="s">
        <v>17</v>
      </c>
    </row>
    <row r="54" spans="1:13" x14ac:dyDescent="0.25">
      <c r="A54" s="1" t="s">
        <v>28</v>
      </c>
      <c r="B54" s="2">
        <v>44221</v>
      </c>
      <c r="C54" s="3">
        <v>0.5180555555555556</v>
      </c>
      <c r="D54" s="2">
        <v>44221</v>
      </c>
      <c r="E54" s="3">
        <v>0.51875000000000004</v>
      </c>
      <c r="F54" s="1" t="s">
        <v>16</v>
      </c>
      <c r="G54" s="1" t="s">
        <v>116</v>
      </c>
      <c r="H54" s="1">
        <v>13</v>
      </c>
      <c r="I54" s="1" t="s">
        <v>3</v>
      </c>
      <c r="J54" s="1" t="s">
        <v>116</v>
      </c>
      <c r="K54" s="1"/>
      <c r="L54" s="1"/>
      <c r="M54" s="1" t="s">
        <v>17</v>
      </c>
    </row>
    <row r="55" spans="1:13" x14ac:dyDescent="0.25">
      <c r="A55" s="1" t="s">
        <v>28</v>
      </c>
      <c r="B55" s="2">
        <v>44221</v>
      </c>
      <c r="C55" s="3">
        <v>0.5180555555555556</v>
      </c>
      <c r="D55" s="2">
        <v>44221</v>
      </c>
      <c r="E55" s="3">
        <v>0.51875000000000004</v>
      </c>
      <c r="F55" s="1" t="s">
        <v>12</v>
      </c>
      <c r="G55" s="1" t="s">
        <v>13</v>
      </c>
      <c r="H55" s="1">
        <v>123456789</v>
      </c>
      <c r="I55" s="1" t="s">
        <v>3</v>
      </c>
      <c r="J55" s="1" t="s">
        <v>13</v>
      </c>
      <c r="K55" s="1"/>
      <c r="L55" s="1"/>
      <c r="M55" s="1" t="s">
        <v>17</v>
      </c>
    </row>
    <row r="56" spans="1:13" x14ac:dyDescent="0.25">
      <c r="A56" s="1" t="s">
        <v>131</v>
      </c>
      <c r="B56" s="2">
        <v>44221</v>
      </c>
      <c r="C56" s="3">
        <v>0.52013888888888893</v>
      </c>
      <c r="D56" s="2">
        <v>44246</v>
      </c>
      <c r="E56" s="3">
        <v>0.68958333333333333</v>
      </c>
      <c r="F56" s="1"/>
      <c r="G56" s="1"/>
      <c r="H56" s="1"/>
      <c r="I56" s="1" t="s">
        <v>3</v>
      </c>
      <c r="J56" s="1"/>
      <c r="K56" s="1"/>
      <c r="L56" s="1"/>
      <c r="M56" s="1" t="s">
        <v>39</v>
      </c>
    </row>
    <row r="57" spans="1:13" x14ac:dyDescent="0.25">
      <c r="A57" s="1" t="s">
        <v>131</v>
      </c>
      <c r="B57" s="2">
        <v>44221</v>
      </c>
      <c r="C57" s="3">
        <v>0.52013888888888893</v>
      </c>
      <c r="D57" s="2">
        <v>44246</v>
      </c>
      <c r="E57" s="3">
        <v>0.68958333333333333</v>
      </c>
      <c r="F57" s="1" t="s">
        <v>12</v>
      </c>
      <c r="G57" s="1" t="s">
        <v>13</v>
      </c>
      <c r="H57" s="1">
        <v>123456789</v>
      </c>
      <c r="I57" s="1" t="s">
        <v>3</v>
      </c>
      <c r="J57" s="1" t="s">
        <v>13</v>
      </c>
      <c r="K57" s="1"/>
      <c r="L57" s="1"/>
      <c r="M57" s="1" t="s">
        <v>39</v>
      </c>
    </row>
    <row r="58" spans="1:13" x14ac:dyDescent="0.25">
      <c r="A58" s="1" t="s">
        <v>131</v>
      </c>
      <c r="B58" s="2">
        <v>44221</v>
      </c>
      <c r="C58" s="3">
        <v>0.52013888888888893</v>
      </c>
      <c r="D58" s="2">
        <v>44246</v>
      </c>
      <c r="E58" s="3">
        <v>0.68958333333333333</v>
      </c>
      <c r="F58" s="1" t="s">
        <v>16</v>
      </c>
      <c r="G58" s="1" t="s">
        <v>116</v>
      </c>
      <c r="H58" s="1">
        <v>13</v>
      </c>
      <c r="I58" s="1" t="s">
        <v>3</v>
      </c>
      <c r="J58" s="1" t="s">
        <v>116</v>
      </c>
      <c r="K58" s="1"/>
      <c r="L58" s="1"/>
      <c r="M58" s="1" t="s">
        <v>39</v>
      </c>
    </row>
    <row r="59" spans="1:13" x14ac:dyDescent="0.25">
      <c r="A59" s="1" t="s">
        <v>134</v>
      </c>
      <c r="B59" s="2">
        <v>44221</v>
      </c>
      <c r="C59" s="3">
        <v>0.79513888888888884</v>
      </c>
      <c r="D59" s="2">
        <v>44246</v>
      </c>
      <c r="E59" s="3">
        <v>0.68958333333333333</v>
      </c>
      <c r="F59" s="1" t="s">
        <v>10</v>
      </c>
      <c r="G59" s="1" t="s">
        <v>11</v>
      </c>
      <c r="H59" s="1">
        <v>2000</v>
      </c>
      <c r="I59" s="1" t="s">
        <v>3</v>
      </c>
      <c r="J59" s="1" t="s">
        <v>11</v>
      </c>
      <c r="K59" s="1"/>
      <c r="L59" s="1"/>
      <c r="M59" s="1" t="s">
        <v>17</v>
      </c>
    </row>
    <row r="60" spans="1:13" x14ac:dyDescent="0.25">
      <c r="A60" s="1" t="s">
        <v>133</v>
      </c>
      <c r="B60" s="2">
        <v>44231</v>
      </c>
      <c r="C60" s="3">
        <v>0.74791666666666667</v>
      </c>
      <c r="D60" s="2">
        <v>44246</v>
      </c>
      <c r="E60" s="3">
        <v>0.68958333333333333</v>
      </c>
      <c r="F60" s="1" t="s">
        <v>8</v>
      </c>
      <c r="G60" s="1" t="s">
        <v>9</v>
      </c>
      <c r="H60" s="1">
        <v>1000</v>
      </c>
      <c r="I60" s="1" t="s">
        <v>3</v>
      </c>
      <c r="J60" s="1" t="s">
        <v>9</v>
      </c>
      <c r="K60" s="1" t="s">
        <v>86</v>
      </c>
      <c r="L60" s="1" t="s">
        <v>51</v>
      </c>
      <c r="M60" s="1" t="s">
        <v>17</v>
      </c>
    </row>
    <row r="61" spans="1:13" x14ac:dyDescent="0.25">
      <c r="A61" s="1" t="s">
        <v>138</v>
      </c>
      <c r="B61" s="2">
        <v>44242</v>
      </c>
      <c r="C61" s="3">
        <v>0.72986111111111107</v>
      </c>
      <c r="D61" s="2">
        <v>44246</v>
      </c>
      <c r="E61" s="3">
        <v>0.68958333333333333</v>
      </c>
      <c r="F61" s="1" t="s">
        <v>12</v>
      </c>
      <c r="G61" s="1" t="s">
        <v>13</v>
      </c>
      <c r="H61" s="1">
        <v>123456789</v>
      </c>
      <c r="I61" s="1" t="s">
        <v>3</v>
      </c>
      <c r="J61" s="1" t="s">
        <v>13</v>
      </c>
      <c r="K61" s="1" t="s">
        <v>86</v>
      </c>
      <c r="L61" s="1" t="s">
        <v>51</v>
      </c>
      <c r="M61" s="1" t="s">
        <v>17</v>
      </c>
    </row>
    <row r="62" spans="1:13" x14ac:dyDescent="0.25">
      <c r="A62" s="1" t="s">
        <v>32</v>
      </c>
      <c r="B62" s="2">
        <v>44246</v>
      </c>
      <c r="C62" s="3">
        <v>0.68958333333333333</v>
      </c>
      <c r="D62" s="2">
        <v>44246</v>
      </c>
      <c r="E62" s="3">
        <v>0.68958333333333333</v>
      </c>
      <c r="F62" s="1" t="s">
        <v>12</v>
      </c>
      <c r="G62" s="1" t="s">
        <v>13</v>
      </c>
      <c r="H62" s="1">
        <v>123456789</v>
      </c>
      <c r="I62" s="1" t="s">
        <v>3</v>
      </c>
      <c r="J62" s="1" t="s">
        <v>13</v>
      </c>
      <c r="K62" s="1" t="s">
        <v>86</v>
      </c>
      <c r="L62" s="1" t="s">
        <v>67</v>
      </c>
      <c r="M62" s="1" t="s">
        <v>17</v>
      </c>
    </row>
    <row r="63" spans="1:13" x14ac:dyDescent="0.25">
      <c r="A63" s="1" t="s">
        <v>31</v>
      </c>
      <c r="B63" s="2">
        <v>44250</v>
      </c>
      <c r="C63" s="3">
        <v>0.57638888888888884</v>
      </c>
      <c r="D63" s="2">
        <v>44250</v>
      </c>
      <c r="E63" s="3">
        <v>0.57777777777777772</v>
      </c>
      <c r="F63" s="1" t="s">
        <v>10</v>
      </c>
      <c r="G63" s="1" t="s">
        <v>11</v>
      </c>
      <c r="H63" s="1">
        <v>2000</v>
      </c>
      <c r="I63" s="1" t="s">
        <v>3</v>
      </c>
      <c r="J63" s="1" t="s">
        <v>11</v>
      </c>
      <c r="K63" s="1" t="s">
        <v>86</v>
      </c>
      <c r="L63" s="1" t="s">
        <v>67</v>
      </c>
      <c r="M63" s="1" t="s">
        <v>17</v>
      </c>
    </row>
    <row r="64" spans="1:13" x14ac:dyDescent="0.25">
      <c r="A64" s="1" t="s">
        <v>139</v>
      </c>
      <c r="B64" s="2">
        <v>44251</v>
      </c>
      <c r="C64" s="3">
        <v>0.29930555555555555</v>
      </c>
      <c r="D64" s="2">
        <v>44251</v>
      </c>
      <c r="E64" s="3">
        <v>0.30416666666666664</v>
      </c>
      <c r="F64" s="1" t="s">
        <v>8</v>
      </c>
      <c r="G64" s="1" t="s">
        <v>9</v>
      </c>
      <c r="H64" s="1">
        <v>1000</v>
      </c>
      <c r="I64" s="1" t="s">
        <v>3</v>
      </c>
      <c r="J64" s="1" t="s">
        <v>9</v>
      </c>
      <c r="K64" s="1" t="s">
        <v>86</v>
      </c>
      <c r="L64" s="1" t="s">
        <v>67</v>
      </c>
      <c r="M64" s="1" t="s">
        <v>17</v>
      </c>
    </row>
    <row r="65" spans="1:13" x14ac:dyDescent="0.25">
      <c r="A65" s="1" t="s">
        <v>140</v>
      </c>
      <c r="B65" s="2">
        <v>44251</v>
      </c>
      <c r="C65" s="3">
        <v>0.3</v>
      </c>
      <c r="D65" s="2">
        <v>44251</v>
      </c>
      <c r="E65" s="3">
        <v>0.30416666666666664</v>
      </c>
      <c r="F65" s="1" t="s">
        <v>12</v>
      </c>
      <c r="G65" s="1" t="s">
        <v>13</v>
      </c>
      <c r="H65" s="1">
        <v>123456789</v>
      </c>
      <c r="I65" s="1" t="s">
        <v>3</v>
      </c>
      <c r="J65" s="1" t="s">
        <v>13</v>
      </c>
      <c r="K65" s="1" t="s">
        <v>86</v>
      </c>
      <c r="L65" s="1" t="s">
        <v>67</v>
      </c>
      <c r="M65" s="1" t="s">
        <v>17</v>
      </c>
    </row>
    <row r="66" spans="1:13" x14ac:dyDescent="0.25">
      <c r="A66" s="1" t="s">
        <v>33</v>
      </c>
      <c r="B66" s="2">
        <v>44251</v>
      </c>
      <c r="C66" s="3">
        <v>0.30208333333333331</v>
      </c>
      <c r="D66" s="2">
        <v>44251</v>
      </c>
      <c r="E66" s="3">
        <v>0.30416666666666664</v>
      </c>
      <c r="F66" s="1" t="s">
        <v>16</v>
      </c>
      <c r="G66" s="1" t="s">
        <v>116</v>
      </c>
      <c r="H66" s="1">
        <v>13</v>
      </c>
      <c r="I66" s="1" t="s">
        <v>3</v>
      </c>
      <c r="J66" s="1" t="s">
        <v>116</v>
      </c>
      <c r="K66" s="1" t="s">
        <v>63</v>
      </c>
      <c r="L66" s="1" t="s">
        <v>71</v>
      </c>
      <c r="M66" s="1" t="s">
        <v>17</v>
      </c>
    </row>
    <row r="67" spans="1:13" x14ac:dyDescent="0.25">
      <c r="A67" s="1" t="s">
        <v>33</v>
      </c>
      <c r="B67" s="2">
        <v>44251</v>
      </c>
      <c r="C67" s="3">
        <v>0.30208333333333331</v>
      </c>
      <c r="D67" s="2">
        <v>44251</v>
      </c>
      <c r="E67" s="3">
        <v>0.30416666666666664</v>
      </c>
      <c r="F67" s="1" t="s">
        <v>14</v>
      </c>
      <c r="G67" s="1" t="s">
        <v>15</v>
      </c>
      <c r="H67" s="1">
        <v>12</v>
      </c>
      <c r="I67" s="1" t="s">
        <v>3</v>
      </c>
      <c r="J67" s="1" t="s">
        <v>15</v>
      </c>
      <c r="K67" s="1" t="s">
        <v>63</v>
      </c>
      <c r="L67" s="1" t="s">
        <v>71</v>
      </c>
      <c r="M67" s="1" t="s">
        <v>17</v>
      </c>
    </row>
    <row r="68" spans="1:13" x14ac:dyDescent="0.25">
      <c r="A68" s="1" t="s">
        <v>33</v>
      </c>
      <c r="B68" s="2">
        <v>44251</v>
      </c>
      <c r="C68" s="3">
        <v>0.30486111111111114</v>
      </c>
      <c r="D68" s="2">
        <v>44251</v>
      </c>
      <c r="E68" s="3">
        <v>0.30694444444444446</v>
      </c>
      <c r="F68" s="1" t="s">
        <v>14</v>
      </c>
      <c r="G68" s="1" t="s">
        <v>15</v>
      </c>
      <c r="H68" s="1">
        <v>12</v>
      </c>
      <c r="I68" s="1" t="s">
        <v>3</v>
      </c>
      <c r="J68" s="1" t="s">
        <v>15</v>
      </c>
      <c r="K68" s="1" t="s">
        <v>86</v>
      </c>
      <c r="L68" s="1" t="s">
        <v>67</v>
      </c>
      <c r="M68" s="1" t="s">
        <v>17</v>
      </c>
    </row>
    <row r="69" spans="1:13" x14ac:dyDescent="0.25">
      <c r="A69" s="1" t="s">
        <v>33</v>
      </c>
      <c r="B69" s="2">
        <v>44251</v>
      </c>
      <c r="C69" s="3">
        <v>0.30486111111111114</v>
      </c>
      <c r="D69" s="2">
        <v>44251</v>
      </c>
      <c r="E69" s="3">
        <v>0.30694444444444446</v>
      </c>
      <c r="F69" s="1" t="s">
        <v>16</v>
      </c>
      <c r="G69" s="1" t="s">
        <v>116</v>
      </c>
      <c r="H69" s="1">
        <v>13</v>
      </c>
      <c r="I69" s="1" t="s">
        <v>3</v>
      </c>
      <c r="J69" s="1" t="s">
        <v>116</v>
      </c>
      <c r="K69" s="1" t="s">
        <v>86</v>
      </c>
      <c r="L69" s="1" t="s">
        <v>67</v>
      </c>
      <c r="M69" s="1" t="s">
        <v>17</v>
      </c>
    </row>
    <row r="70" spans="1:13" x14ac:dyDescent="0.25">
      <c r="A70" s="1" t="s">
        <v>33</v>
      </c>
      <c r="B70" s="2">
        <v>44251</v>
      </c>
      <c r="C70" s="3">
        <v>0.30486111111111114</v>
      </c>
      <c r="D70" s="2">
        <v>44251</v>
      </c>
      <c r="E70" s="3">
        <v>0.30694444444444446</v>
      </c>
      <c r="F70" s="1" t="s">
        <v>12</v>
      </c>
      <c r="G70" s="1" t="s">
        <v>13</v>
      </c>
      <c r="H70" s="1">
        <v>123456789</v>
      </c>
      <c r="I70" s="1" t="s">
        <v>3</v>
      </c>
      <c r="J70" s="1" t="s">
        <v>13</v>
      </c>
      <c r="K70" s="1" t="s">
        <v>86</v>
      </c>
      <c r="L70" s="1" t="s">
        <v>67</v>
      </c>
      <c r="M70" s="1" t="s">
        <v>17</v>
      </c>
    </row>
    <row r="71" spans="1:13" x14ac:dyDescent="0.25">
      <c r="A71" s="1" t="s">
        <v>33</v>
      </c>
      <c r="B71" s="2">
        <v>44251</v>
      </c>
      <c r="C71" s="3">
        <v>0.30486111111111114</v>
      </c>
      <c r="D71" s="2">
        <v>44251</v>
      </c>
      <c r="E71" s="3">
        <v>0.30694444444444446</v>
      </c>
      <c r="F71" s="1" t="s">
        <v>8</v>
      </c>
      <c r="G71" s="1" t="s">
        <v>9</v>
      </c>
      <c r="H71" s="1">
        <v>1000</v>
      </c>
      <c r="I71" s="1" t="s">
        <v>3</v>
      </c>
      <c r="J71" s="1" t="s">
        <v>9</v>
      </c>
      <c r="K71" s="1" t="s">
        <v>86</v>
      </c>
      <c r="L71" s="1" t="s">
        <v>67</v>
      </c>
      <c r="M71" s="1" t="s">
        <v>17</v>
      </c>
    </row>
    <row r="72" spans="1:13" x14ac:dyDescent="0.25">
      <c r="A72" s="1" t="s">
        <v>38</v>
      </c>
      <c r="B72" s="2">
        <v>44251</v>
      </c>
      <c r="C72" s="3">
        <v>0.32361111111111113</v>
      </c>
      <c r="D72" s="2">
        <v>44251</v>
      </c>
      <c r="E72" s="3">
        <v>0.3263888888888889</v>
      </c>
      <c r="F72" s="1" t="s">
        <v>14</v>
      </c>
      <c r="G72" s="1" t="s">
        <v>15</v>
      </c>
      <c r="H72" s="1">
        <v>12</v>
      </c>
      <c r="I72" s="1" t="s">
        <v>3</v>
      </c>
      <c r="J72" s="1" t="s">
        <v>15</v>
      </c>
      <c r="K72" s="1" t="s">
        <v>65</v>
      </c>
      <c r="L72" s="1" t="s">
        <v>71</v>
      </c>
      <c r="M72" s="1" t="s">
        <v>17</v>
      </c>
    </row>
    <row r="73" spans="1:13" x14ac:dyDescent="0.25">
      <c r="A73" s="1" t="s">
        <v>38</v>
      </c>
      <c r="B73" s="2">
        <v>44251</v>
      </c>
      <c r="C73" s="3">
        <v>0.32361111111111113</v>
      </c>
      <c r="D73" s="2">
        <v>44251</v>
      </c>
      <c r="E73" s="3">
        <v>0.3263888888888889</v>
      </c>
      <c r="F73" s="1" t="s">
        <v>16</v>
      </c>
      <c r="G73" s="1" t="s">
        <v>116</v>
      </c>
      <c r="H73" s="1">
        <v>13</v>
      </c>
      <c r="I73" s="1" t="s">
        <v>3</v>
      </c>
      <c r="J73" s="1" t="s">
        <v>116</v>
      </c>
      <c r="K73" s="1" t="s">
        <v>65</v>
      </c>
      <c r="L73" s="1" t="s">
        <v>71</v>
      </c>
      <c r="M73" s="1" t="s">
        <v>17</v>
      </c>
    </row>
    <row r="74" spans="1:13" x14ac:dyDescent="0.25">
      <c r="A74" s="1" t="s">
        <v>38</v>
      </c>
      <c r="B74" s="2">
        <v>44251</v>
      </c>
      <c r="C74" s="3">
        <v>0.32361111111111113</v>
      </c>
      <c r="D74" s="2">
        <v>44251</v>
      </c>
      <c r="E74" s="3">
        <v>0.3263888888888889</v>
      </c>
      <c r="F74" s="1" t="s">
        <v>12</v>
      </c>
      <c r="G74" s="1" t="s">
        <v>13</v>
      </c>
      <c r="H74" s="1">
        <v>123456789</v>
      </c>
      <c r="I74" s="1" t="s">
        <v>3</v>
      </c>
      <c r="J74" s="1" t="s">
        <v>13</v>
      </c>
      <c r="K74" s="1" t="s">
        <v>65</v>
      </c>
      <c r="L74" s="1" t="s">
        <v>71</v>
      </c>
      <c r="M74" s="1" t="s">
        <v>17</v>
      </c>
    </row>
    <row r="75" spans="1:13" x14ac:dyDescent="0.25">
      <c r="A75" s="1" t="s">
        <v>38</v>
      </c>
      <c r="B75" s="2">
        <v>44251</v>
      </c>
      <c r="C75" s="3">
        <v>0.32361111111111113</v>
      </c>
      <c r="D75" s="2">
        <v>44251</v>
      </c>
      <c r="E75" s="3">
        <v>0.3263888888888889</v>
      </c>
      <c r="F75" s="1" t="s">
        <v>8</v>
      </c>
      <c r="G75" s="1" t="s">
        <v>9</v>
      </c>
      <c r="H75" s="1">
        <v>1000</v>
      </c>
      <c r="I75" s="1" t="s">
        <v>3</v>
      </c>
      <c r="J75" s="1" t="s">
        <v>9</v>
      </c>
      <c r="K75" s="1" t="s">
        <v>65</v>
      </c>
      <c r="L75" s="1" t="s">
        <v>71</v>
      </c>
      <c r="M75" s="1" t="s">
        <v>17</v>
      </c>
    </row>
    <row r="76" spans="1:13" x14ac:dyDescent="0.25">
      <c r="A76" s="1" t="s">
        <v>141</v>
      </c>
      <c r="B76" s="2">
        <v>44251</v>
      </c>
      <c r="C76" s="3">
        <v>0.43888888888888888</v>
      </c>
      <c r="D76" s="2">
        <v>44251</v>
      </c>
      <c r="E76" s="3">
        <v>0.4513888888888889</v>
      </c>
      <c r="F76" s="1" t="s">
        <v>16</v>
      </c>
      <c r="G76" s="1" t="s">
        <v>116</v>
      </c>
      <c r="H76" s="1">
        <v>13</v>
      </c>
      <c r="I76" s="1" t="s">
        <v>3</v>
      </c>
      <c r="J76" s="1" t="s">
        <v>116</v>
      </c>
      <c r="K76" s="1" t="s">
        <v>86</v>
      </c>
      <c r="L76" s="1" t="s">
        <v>67</v>
      </c>
      <c r="M76" s="1" t="s">
        <v>17</v>
      </c>
    </row>
    <row r="77" spans="1:13" x14ac:dyDescent="0.25">
      <c r="A77" s="1" t="s">
        <v>141</v>
      </c>
      <c r="B77" s="2">
        <v>44251</v>
      </c>
      <c r="C77" s="3">
        <v>0.43888888888888888</v>
      </c>
      <c r="D77" s="2">
        <v>44251</v>
      </c>
      <c r="E77" s="3">
        <v>0.4513888888888889</v>
      </c>
      <c r="F77" s="1" t="s">
        <v>12</v>
      </c>
      <c r="G77" s="1" t="s">
        <v>13</v>
      </c>
      <c r="H77" s="1">
        <v>123456789</v>
      </c>
      <c r="I77" s="1" t="s">
        <v>3</v>
      </c>
      <c r="J77" s="1" t="s">
        <v>13</v>
      </c>
      <c r="K77" s="1" t="s">
        <v>86</v>
      </c>
      <c r="L77" s="1" t="s">
        <v>67</v>
      </c>
      <c r="M77" s="1" t="s">
        <v>17</v>
      </c>
    </row>
    <row r="78" spans="1:13" x14ac:dyDescent="0.25">
      <c r="A78" s="1" t="s">
        <v>28</v>
      </c>
      <c r="B78" s="2">
        <v>44252</v>
      </c>
      <c r="C78" s="3">
        <v>0.83125000000000004</v>
      </c>
      <c r="D78" s="2">
        <v>44252</v>
      </c>
      <c r="E78" s="3">
        <v>0.83194444444444449</v>
      </c>
      <c r="F78" s="1" t="s">
        <v>8</v>
      </c>
      <c r="G78" s="1" t="s">
        <v>9</v>
      </c>
      <c r="H78" s="1">
        <v>1000</v>
      </c>
      <c r="I78" s="1" t="s">
        <v>3</v>
      </c>
      <c r="J78" s="1" t="s">
        <v>9</v>
      </c>
      <c r="K78" s="1" t="s">
        <v>86</v>
      </c>
      <c r="L78" s="1" t="s">
        <v>51</v>
      </c>
      <c r="M78" s="1" t="s">
        <v>17</v>
      </c>
    </row>
    <row r="79" spans="1:13" x14ac:dyDescent="0.25">
      <c r="A79" s="1" t="s">
        <v>32</v>
      </c>
      <c r="B79" s="2">
        <v>44252</v>
      </c>
      <c r="C79" s="3">
        <v>0.83263888888888893</v>
      </c>
      <c r="D79" s="2">
        <v>44252</v>
      </c>
      <c r="E79" s="3">
        <v>0.83263888888888893</v>
      </c>
      <c r="F79" s="1" t="s">
        <v>8</v>
      </c>
      <c r="G79" s="1" t="s">
        <v>9</v>
      </c>
      <c r="H79" s="1">
        <v>1000</v>
      </c>
      <c r="I79" s="1" t="s">
        <v>3</v>
      </c>
      <c r="J79" s="1" t="s">
        <v>9</v>
      </c>
      <c r="K79" s="1" t="s">
        <v>86</v>
      </c>
      <c r="L79" s="1" t="s">
        <v>51</v>
      </c>
      <c r="M79" s="1" t="s">
        <v>39</v>
      </c>
    </row>
    <row r="80" spans="1:13" x14ac:dyDescent="0.25">
      <c r="A80" s="1"/>
      <c r="B80" s="2">
        <v>44252</v>
      </c>
      <c r="C80" s="3">
        <v>0.84513888888888888</v>
      </c>
      <c r="D80" s="2"/>
      <c r="E80" s="3"/>
      <c r="F80" s="1" t="s">
        <v>8</v>
      </c>
      <c r="G80" s="1" t="s">
        <v>9</v>
      </c>
      <c r="H80" s="1">
        <v>1000</v>
      </c>
      <c r="I80" s="1" t="s">
        <v>3</v>
      </c>
      <c r="J80" s="1" t="s">
        <v>9</v>
      </c>
      <c r="K80" s="1" t="s">
        <v>86</v>
      </c>
      <c r="L80" s="1" t="s">
        <v>51</v>
      </c>
      <c r="M80" s="1" t="s">
        <v>17</v>
      </c>
    </row>
  </sheetData>
  <hyperlinks>
    <hyperlink ref="O2" location="TUIS!A1" display="TUIS" xr:uid="{00000000-0004-0000-0A00-000001000000}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E5F348-9554-4B42-8C6C-AF97AC1567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TUIS</vt:lpstr>
      <vt:lpstr>Kratte</vt:lpstr>
      <vt:lpstr>Werkers</vt:lpstr>
      <vt:lpstr>Gebruikers</vt:lpstr>
      <vt:lpstr>Gewasse</vt:lpstr>
      <vt:lpstr>Plase</vt:lpstr>
      <vt:lpstr>Take</vt:lpstr>
      <vt:lpstr>Spilpunte</vt:lpstr>
      <vt:lpstr>Toegang</vt:lpstr>
      <vt:lpstr>Tydkaarte</vt:lpstr>
      <vt:lpstr>Tyd Per Taak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 Fourie</dc:creator>
  <cp:lastModifiedBy>Jako Fourie</cp:lastModifiedBy>
  <dcterms:created xsi:type="dcterms:W3CDTF">2021-02-05T09:28:33Z</dcterms:created>
  <dcterms:modified xsi:type="dcterms:W3CDTF">2021-02-26T07:37:39Z</dcterms:modified>
</cp:coreProperties>
</file>