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Projects\Wildeklawer_Tydkaarte\"/>
    </mc:Choice>
  </mc:AlternateContent>
  <xr:revisionPtr revIDLastSave="0" documentId="13_ncr:80001_{CA52063F-67B5-4334-ADFE-A860C5849A4A}" xr6:coauthVersionLast="36" xr6:coauthVersionMax="36" xr10:uidLastSave="{00000000-0000-0000-0000-000000000000}"/>
  <bookViews>
    <workbookView xWindow="0" yWindow="0" windowWidth="28800" windowHeight="12225" tabRatio="702" xr2:uid="{86EE5FAB-08D2-4895-9666-EAF11BA5D3F8}"/>
  </bookViews>
  <sheets>
    <sheet name="TUIS" sheetId="8" r:id="rId1"/>
    <sheet name="Tydkaarte" sheetId="6" r:id="rId2"/>
    <sheet name="Tyd Per Taak" sheetId="7" r:id="rId3"/>
    <sheet name="Kratte" sheetId="5" r:id="rId4"/>
    <sheet name="Werkers" sheetId="4" r:id="rId5"/>
    <sheet name="Gebruikers" sheetId="3" r:id="rId6"/>
    <sheet name="Gewasse" sheetId="10" r:id="rId7"/>
    <sheet name="Plase" sheetId="11" r:id="rId8"/>
    <sheet name="Take" sheetId="12" r:id="rId9"/>
    <sheet name="Spilpunte" sheetId="13" r:id="rId10"/>
    <sheet name="Toegang" sheetId="9" r:id="rId11"/>
  </sheets>
  <definedNames>
    <definedName name="ExternalData_1" localSheetId="5" hidden="1">Gebruikers!$A$2:$H$4</definedName>
    <definedName name="ExternalData_1" localSheetId="6" hidden="1">Gewasse!$A$2:$C$6</definedName>
    <definedName name="ExternalData_1" localSheetId="3" hidden="1">Kratte!$A$2:$F$16</definedName>
    <definedName name="ExternalData_1" localSheetId="7" hidden="1">Plase!$A$2:$C$5</definedName>
    <definedName name="ExternalData_1" localSheetId="9" hidden="1">Spilpunte!$A$2:$D$7</definedName>
    <definedName name="ExternalData_1" localSheetId="8" hidden="1">Take!$A$2:$C$6</definedName>
    <definedName name="ExternalData_1" localSheetId="10" hidden="1">Toegang!$A$2:$C$9</definedName>
    <definedName name="ExternalData_1" localSheetId="4" hidden="1">Werkers!$A$2:$D$7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5" l="1"/>
  <c r="M2" i="5"/>
  <c r="J2" i="5"/>
  <c r="T2" i="7"/>
  <c r="Q2" i="7"/>
  <c r="S2" i="6"/>
  <c r="P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6D7A8D-BFD4-4118-8D28-F89AB5BB9C29}" keepAlive="1" interval="60" name="Query - Table 0" description="Connection to the 'Table 0' query in the workbook." type="5" refreshedVersion="6" background="1" refreshOnLoad="1" saveData="1">
    <dbPr connection="Provider=Microsoft.Mashup.OleDb.1;Data Source=$Workbook$;Location=&quot;Table 0&quot;;Extended Properties=&quot;&quot;" command="SELECT * FROM [Table 0]"/>
  </connection>
  <connection id="2" xr16:uid="{81E4C01F-7699-49ED-9CBE-7BA680CF6FFD}" keepAlive="1" interval="60" name="Query - Table 0 (2)" description="Connection to the 'Table 0 (2)' query in the workbook." type="5" refreshedVersion="6" background="1" refreshOnLoad="1" saveData="1">
    <dbPr connection="Provider=Microsoft.Mashup.OleDb.1;Data Source=$Workbook$;Location=Table 0 (2);Extended Properties=&quot;&quot;" command="SELECT * FROM [Table 0 (2)]"/>
  </connection>
  <connection id="3" xr16:uid="{FACBCEEF-D840-4161-8F63-D1B4AD99F6E9}" keepAlive="1" interval="60" name="Query - Table 0 (3)" description="Connection to the 'Table 0 (3)' query in the workbook." type="5" refreshedVersion="6" background="1" refreshOnLoad="1" saveData="1">
    <dbPr connection="Provider=Microsoft.Mashup.OleDb.1;Data Source=$Workbook$;Location=&quot;Table 0 (3)&quot;;Extended Properties=&quot;&quot;" command="SELECT * FROM [Table 0 (3)]"/>
  </connection>
  <connection id="4" xr16:uid="{8E8A4DE0-0482-4924-A6B2-CDCA998E4707}" keepAlive="1" interval="60" name="Query - Table 0 (4)" description="Connection to the 'Table 0 (4)' query in the workbook." type="5" refreshedVersion="6" background="1" refreshOnLoad="1" saveData="1">
    <dbPr connection="Provider=Microsoft.Mashup.OleDb.1;Data Source=$Workbook$;Location=&quot;Table 0 (4)&quot;;Extended Properties=&quot;&quot;" command="SELECT * FROM [Table 0 (4)]"/>
  </connection>
  <connection id="5" xr16:uid="{520519B9-313E-4503-AD8E-FC491074EAFE}" keepAlive="1" interval="60" name="Query - Table 0 (5)" description="Connection to the 'Table 0 (5)' query in the workbook." type="5" refreshedVersion="6" background="1" refreshOnLoad="1" saveData="1">
    <dbPr connection="Provider=Microsoft.Mashup.OleDb.1;Data Source=$Workbook$;Location=&quot;Table 0 (5)&quot;;Extended Properties=&quot;&quot;" command="SELECT * FROM [Table 0 (5)]"/>
  </connection>
  <connection id="6" xr16:uid="{92C36D75-EF57-4BF8-941E-5A5A151B6635}" keepAlive="1" interval="60" name="Query - Table 0 (6)" description="Connection to the 'Table 0 (6)' query in the workbook." type="5" refreshedVersion="6" background="1" refreshOnLoad="1" saveData="1">
    <dbPr connection="Provider=Microsoft.Mashup.OleDb.1;Data Source=$Workbook$;Location=&quot;Table 0 (6)&quot;;Extended Properties=&quot;&quot;" command="SELECT * FROM [Table 0 (6)]"/>
  </connection>
  <connection id="7" xr16:uid="{1D426699-C52A-4BE1-B334-8731647A18EF}" keepAlive="1" interval="60" name="Query - Table 0 (7)" description="Connection to the 'Table 0 (7)' query in the workbook." type="5" refreshedVersion="6" background="1" refreshOnLoad="1" saveData="1">
    <dbPr connection="Provider=Microsoft.Mashup.OleDb.1;Data Source=$Workbook$;Location=&quot;Table 0 (7)&quot;;Extended Properties=&quot;&quot;" command="SELECT * FROM [Table 0 (7)]"/>
  </connection>
  <connection id="8" xr16:uid="{20CC07E3-9079-49F6-B7CE-D106C6DEB353}" keepAlive="1" interval="60" name="Query - Table 0 (8)" description="Connection to the 'Table 0 (8)' query in the workbook." type="5" refreshedVersion="6" background="1" refreshOnLoad="1" saveData="1">
    <dbPr connection="Provider=Microsoft.Mashup.OleDb.1;Data Source=$Workbook$;Location=&quot;Table 0 (8)&quot;;Extended Properties=&quot;&quot;" command="SELECT * FROM [Table 0 (8)]"/>
  </connection>
</connections>
</file>

<file path=xl/sharedStrings.xml><?xml version="1.0" encoding="utf-8"?>
<sst xmlns="http://schemas.openxmlformats.org/spreadsheetml/2006/main" count="665" uniqueCount="110">
  <si>
    <t>id</t>
  </si>
  <si>
    <t>naam</t>
  </si>
  <si>
    <t>van</t>
  </si>
  <si>
    <t>CN</t>
  </si>
  <si>
    <t>admin</t>
  </si>
  <si>
    <t>system</t>
  </si>
  <si>
    <t>System Admin</t>
  </si>
  <si>
    <t>worker</t>
  </si>
  <si>
    <t>User Admin</t>
  </si>
  <si>
    <t>Herman</t>
  </si>
  <si>
    <t>Ras</t>
  </si>
  <si>
    <t>Jako</t>
  </si>
  <si>
    <t>Fourie</t>
  </si>
  <si>
    <t>Pieter</t>
  </si>
  <si>
    <t>Russouw</t>
  </si>
  <si>
    <t>Louis</t>
  </si>
  <si>
    <t>De Kock</t>
  </si>
  <si>
    <t>Carin</t>
  </si>
  <si>
    <t>Van Tonder</t>
  </si>
  <si>
    <t>logDate</t>
  </si>
  <si>
    <t>Oes</t>
  </si>
  <si>
    <t>TotalTime</t>
  </si>
  <si>
    <t>managerNaam</t>
  </si>
  <si>
    <t>managerVan</t>
  </si>
  <si>
    <t>plaasNaam</t>
  </si>
  <si>
    <t>spilpuntNaam</t>
  </si>
  <si>
    <t>taakNaam</t>
  </si>
  <si>
    <t>clockType</t>
  </si>
  <si>
    <t>UIT</t>
  </si>
  <si>
    <t>MinutesOnClock</t>
  </si>
  <si>
    <t>inDate</t>
  </si>
  <si>
    <t>inTime</t>
  </si>
  <si>
    <t>outDate</t>
  </si>
  <si>
    <t>outTime</t>
  </si>
  <si>
    <t>-00:01:00</t>
  </si>
  <si>
    <t>Algemeen</t>
  </si>
  <si>
    <t>-04:06:00</t>
  </si>
  <si>
    <t>-00:02:00</t>
  </si>
  <si>
    <t>00:00:00</t>
  </si>
  <si>
    <t>-00:03:00</t>
  </si>
  <si>
    <t>-01:36:00</t>
  </si>
  <si>
    <t>-00:54:00</t>
  </si>
  <si>
    <t>Skoffel</t>
  </si>
  <si>
    <t>03:20:00</t>
  </si>
  <si>
    <t>-00:04:00</t>
  </si>
  <si>
    <t>Plant</t>
  </si>
  <si>
    <t>00:51:00</t>
  </si>
  <si>
    <t>-01:22:00</t>
  </si>
  <si>
    <t>-04:44:00</t>
  </si>
  <si>
    <t>-02:29:00</t>
  </si>
  <si>
    <t>-02:28:00</t>
  </si>
  <si>
    <t>06:20:00</t>
  </si>
  <si>
    <t>06:21:00</t>
  </si>
  <si>
    <t>-00:32:00</t>
  </si>
  <si>
    <t>-00:26:00</t>
  </si>
  <si>
    <t>-00:24:00</t>
  </si>
  <si>
    <t>-03:12:00</t>
  </si>
  <si>
    <t>Blaaubank - WK</t>
  </si>
  <si>
    <t>Spilpunt 2</t>
  </si>
  <si>
    <t>ID</t>
  </si>
  <si>
    <t>Guest</t>
  </si>
  <si>
    <t>2</t>
  </si>
  <si>
    <t>3</t>
  </si>
  <si>
    <t>5</t>
  </si>
  <si>
    <t>6</t>
  </si>
  <si>
    <t>Uie</t>
  </si>
  <si>
    <t>Aartappels</t>
  </si>
  <si>
    <t>Wortels</t>
  </si>
  <si>
    <t>Beet</t>
  </si>
  <si>
    <t>WK</t>
  </si>
  <si>
    <t>DeBron</t>
  </si>
  <si>
    <t>DB</t>
  </si>
  <si>
    <t>Romance</t>
  </si>
  <si>
    <t>RM</t>
  </si>
  <si>
    <t>Spilpunt 3</t>
  </si>
  <si>
    <t>SP3</t>
  </si>
  <si>
    <t>SP2</t>
  </si>
  <si>
    <t>SP4</t>
  </si>
  <si>
    <t>Spilpunt 5</t>
  </si>
  <si>
    <t>SP5</t>
  </si>
  <si>
    <t>Spilpunt 6</t>
  </si>
  <si>
    <t>SP6</t>
  </si>
  <si>
    <t>TUIS</t>
  </si>
  <si>
    <t>Tydkaarte</t>
  </si>
  <si>
    <t>Gewasse</t>
  </si>
  <si>
    <t>Tyd Per Taak</t>
  </si>
  <si>
    <t>Bins</t>
  </si>
  <si>
    <t>Werkers</t>
  </si>
  <si>
    <t>Gebruikers</t>
  </si>
  <si>
    <t>Plase</t>
  </si>
  <si>
    <t>Take</t>
  </si>
  <si>
    <t>Spilpunte</t>
  </si>
  <si>
    <t>Toegang</t>
  </si>
  <si>
    <t>Totaal Kratte</t>
  </si>
  <si>
    <t>Totale Ure</t>
  </si>
  <si>
    <t>Blaaubank</t>
  </si>
  <si>
    <t>Company #</t>
  </si>
  <si>
    <t>Kratte</t>
  </si>
  <si>
    <t>Datum</t>
  </si>
  <si>
    <t>Ure</t>
  </si>
  <si>
    <t>Naam</t>
  </si>
  <si>
    <t>Afkorting</t>
  </si>
  <si>
    <t>Van</t>
  </si>
  <si>
    <t>Taak</t>
  </si>
  <si>
    <t>Volle Naam</t>
  </si>
  <si>
    <t>Plaas Naam</t>
  </si>
  <si>
    <t>Plaas Afkorting</t>
  </si>
  <si>
    <t>Naam Afkorting</t>
  </si>
  <si>
    <t>Plaas ID</t>
  </si>
  <si>
    <t>Beskrywing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</si>
</sst>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h:mm:ss;@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2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2" fillId="0" borderId="0" xfId="1" applyFont="1" applyAlignment="1">
      <alignment horizontal="center"/>
    </xf>
    <xf numFmtId="0" fontId="4" fillId="0" borderId="0" xfId="0" applyFont="1"/>
    <xf numFmtId="0" fontId="3" fillId="0" borderId="0" xfId="0" applyFont="1" applyBorder="1" applyAlignment="1">
      <alignment vertical="center" wrapText="1"/>
    </xf>
    <xf numFmtId="0" fontId="4" fillId="0" borderId="0" xfId="0" applyFont="1" applyBorder="1"/>
    <xf numFmtId="0" fontId="3" fillId="0" borderId="0" xfId="0" applyFont="1"/>
    <xf numFmtId="0" fontId="2" fillId="0" borderId="1" xfId="1" applyFont="1" applyBorder="1" applyAlignment="1">
      <alignment horizontal="center" vertical="center"/>
    </xf>
    <xf numFmtId="0" fontId="2" fillId="0" borderId="1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0" applyNumberFormat="1"/>
    <xf numFmtId="0" fontId="6" fillId="0" borderId="0" xfId="0" applyFont="1"/>
    <xf numFmtId="0" fontId="10" fillId="0" borderId="0" xfId="0" applyFont="1" applyFill="1"/>
    <xf numFmtId="0" fontId="7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 vertical="center"/>
    </xf>
    <xf numFmtId="1" fontId="9" fillId="2" borderId="1" xfId="1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46" fontId="9" fillId="2" borderId="1" xfId="1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46" fontId="6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yyyy/mm/dd"/>
    </dxf>
    <dxf>
      <numFmt numFmtId="164" formatCode="[$-F400]h:mm:ss\ AM/PM"/>
    </dxf>
    <dxf>
      <numFmt numFmtId="19" formatCode="yyyy/mm/dd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0</xdr:row>
      <xdr:rowOff>68580</xdr:rowOff>
    </xdr:from>
    <xdr:to>
      <xdr:col>5</xdr:col>
      <xdr:colOff>960120</xdr:colOff>
      <xdr:row>5</xdr:row>
      <xdr:rowOff>327216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420" y="68580"/>
          <a:ext cx="2979420" cy="11730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16</xdr:row>
          <xdr:rowOff>19050</xdr:rowOff>
        </xdr:from>
        <xdr:to>
          <xdr:col>5</xdr:col>
          <xdr:colOff>819150</xdr:colOff>
          <xdr:row>17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20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Verfris Inligting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A7DFFE8-3E4C-4089-BAE3-3677BC1187DE}" autoFormatId="16" applyNumberFormats="0" applyBorderFormats="0" applyFontFormats="0" applyPatternFormats="0" applyAlignmentFormats="0" applyWidthHeightFormats="0">
  <queryTableRefresh nextId="11">
    <queryTableFields count="6">
      <queryTableField id="7" name="Datum" tableColumnId="1"/>
      <queryTableField id="2" name="naam" tableColumnId="2"/>
      <queryTableField id="3" name="van" tableColumnId="3"/>
      <queryTableField id="4" name="CN" tableColumnId="4"/>
      <queryTableField id="8" name="Kratte" tableColumnId="5"/>
      <queryTableField id="9" name="Taak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4BF09A24-47D3-4A19-805A-9141E9954CBC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am" tableColumnId="2"/>
      <queryTableField id="3" name="van" tableColumnId="3"/>
      <queryTableField id="4" name="CN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7FB42405-E9A5-4F9A-9D2E-52D53955E302}" autoFormatId="16" applyNumberFormats="0" applyBorderFormats="0" applyFontFormats="0" applyPatternFormats="0" applyAlignmentFormats="0" applyWidthHeightFormats="0">
  <queryTableRefresh nextId="17">
    <queryTableFields count="8">
      <queryTableField id="1" name="id" tableColumnId="1"/>
      <queryTableField id="2" name="naam" tableColumnId="2"/>
      <queryTableField id="3" name="van" tableColumnId="3"/>
      <queryTableField id="4" name="CN" tableColumnId="4"/>
      <queryTableField id="12" name="Plaas Naam" tableColumnId="9"/>
      <queryTableField id="13" name="Plaas Afkorting" tableColumnId="10"/>
      <queryTableField id="10" name="Volle Naam" tableColumnId="7"/>
      <queryTableField id="16" name="Naam Afkorting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50AB9C05-DCE8-4792-8523-31ED0D8DE9FC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17893ADA-3375-4304-B858-ECC5482BC17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7" xr16:uid="{225FF108-BA74-459D-BFCD-95B8A59ED8D7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8" xr16:uid="{1A0CED6B-1A4E-4F37-9025-65E293ACDD7F}" autoFormatId="16" applyNumberFormats="0" applyBorderFormats="0" applyFontFormats="0" applyPatternFormats="0" applyAlignmentFormats="0" applyWidthHeightFormats="0">
  <queryTableRefresh nextId="7">
    <queryTableFields count="4">
      <queryTableField id="1" name="ID" tableColumnId="1"/>
      <queryTableField id="2" name="naam" tableColumnId="2"/>
      <queryTableField id="3" name="afkorting" tableColumnId="3"/>
      <queryTableField id="6" name="Plaas ID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50F16716-D4C5-42A1-A75B-AB5B489CFB53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beskrywing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D58AE4-63E6-494B-BACC-6242870676C1}" name="Table_0__4" displayName="Table_0__4" ref="A2:L37" totalsRowShown="0">
  <autoFilter ref="A2:L37" xr:uid="{FBBDAC42-3D55-49C9-B6EE-266FD18835D7}"/>
  <tableColumns count="12">
    <tableColumn id="1" xr3:uid="{53C5D894-684E-460C-BF61-41C1FAAB35DF}" name="id"/>
    <tableColumn id="2" xr3:uid="{61CF26D5-7EDF-47D2-9F6A-B66C53015798}" name="TotalTime" dataDxfId="41" totalsRowDxfId="31"/>
    <tableColumn id="3" xr3:uid="{214A7E68-2EFA-4343-9D96-D51E1BA4F62A}" name="naam" dataDxfId="40" totalsRowDxfId="30"/>
    <tableColumn id="4" xr3:uid="{CD9A6BD6-3068-4104-AEB8-4AFF2E99E6B7}" name="van" dataDxfId="39" totalsRowDxfId="29"/>
    <tableColumn id="5" xr3:uid="{65A82A1D-0619-4BDE-8932-DC9D1321B257}" name="CN"/>
    <tableColumn id="6" xr3:uid="{799733CB-15F2-46C7-92C3-B4731AD4C986}" name="managerNaam" dataDxfId="38" totalsRowDxfId="28"/>
    <tableColumn id="7" xr3:uid="{7ED69264-2B3D-46A3-847E-440F1B7E0BB8}" name="managerVan" dataDxfId="37" totalsRowDxfId="27"/>
    <tableColumn id="8" xr3:uid="{73366247-7996-48B9-812A-A5B63E86379B}" name="logDate" dataDxfId="36" totalsRowDxfId="26"/>
    <tableColumn id="9" xr3:uid="{EE9FD90A-F52D-45DC-B7EC-CA5539ACDBAB}" name="plaasNaam" dataDxfId="35" totalsRowDxfId="25"/>
    <tableColumn id="10" xr3:uid="{18671181-DB0A-4B13-A64C-1EBB4816CFD4}" name="spilpuntNaam" dataDxfId="34" totalsRowDxfId="24"/>
    <tableColumn id="11" xr3:uid="{364D2C79-A3E0-4411-947B-C2BF91C32740}" name="taakNaam" dataDxfId="33" totalsRowDxfId="23"/>
    <tableColumn id="12" xr3:uid="{5A297087-C5F4-4885-8EC1-2D1F9714B720}" name="clockType" dataDxfId="32" totalsRow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64255-6B76-4CF9-8158-824DCD74FD4B}" name="Table_0__5" displayName="Table_0__5" ref="A2:M61" totalsRowShown="0">
  <autoFilter ref="A2:M61" xr:uid="{D16E59B5-821D-4E85-8E64-39429D241318}"/>
  <tableColumns count="13">
    <tableColumn id="1" xr3:uid="{060C53E4-C013-4D38-8337-47EBBABE8AE3}" name="MinutesOnClock" dataDxfId="53"/>
    <tableColumn id="2" xr3:uid="{CC5423CA-D19A-42D0-804F-D3CD249953E5}" name="inDate" dataDxfId="52"/>
    <tableColumn id="3" xr3:uid="{DFA6275C-794A-4914-928A-687A1CEE2CCA}" name="inTime" dataDxfId="51"/>
    <tableColumn id="4" xr3:uid="{D435AD4D-0ED4-43AA-86CA-B978BF5812A9}" name="outDate" dataDxfId="50"/>
    <tableColumn id="5" xr3:uid="{FB559902-07D0-48BB-A4B0-479277FF2B87}" name="outTime" dataDxfId="49"/>
    <tableColumn id="6" xr3:uid="{8718DC2F-99F0-44E9-9A96-B2B2686B8124}" name="naam" dataDxfId="48"/>
    <tableColumn id="7" xr3:uid="{9316E537-77C2-4D7F-B6D2-8F70851E71B5}" name="van" dataDxfId="47"/>
    <tableColumn id="8" xr3:uid="{CCF6BAA8-9603-4C2A-8BA7-33AA74A88D70}" name="CN"/>
    <tableColumn id="9" xr3:uid="{90A720D7-F853-4205-BC27-F27878E19E20}" name="managerNaam" dataDxfId="46"/>
    <tableColumn id="10" xr3:uid="{BCE8BECC-42BC-438E-86CC-DF74734CFD14}" name="managerVan" dataDxfId="45"/>
    <tableColumn id="11" xr3:uid="{5AD2C56E-D048-4F23-88C1-61D18815FCE9}" name="plaasNaam" dataDxfId="44"/>
    <tableColumn id="12" xr3:uid="{3B105435-8E20-4CD0-AA23-E7A70A47E727}" name="spilpuntNaam" dataDxfId="43"/>
    <tableColumn id="13" xr3:uid="{D7C354CB-5C7E-456C-AC44-503B745B1DD5}" name="taakNaam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CF1731-B976-49A0-9277-289FDE1C96C7}" name="Table_0__3" displayName="Table_0__3" ref="A2:F16" tableType="queryTable" totalsRowShown="0">
  <autoFilter ref="A2:F16" xr:uid="{47316905-DBD2-47A8-BDBB-AB2547D98644}"/>
  <tableColumns count="6">
    <tableColumn id="1" xr3:uid="{C7F20585-3385-4DE7-AC7F-2E5E0C14D70E}" uniqueName="1" name="Datum" queryTableFieldId="7" dataDxfId="21"/>
    <tableColumn id="2" xr3:uid="{7642AFB0-41A9-4719-A0CE-20D021930989}" uniqueName="2" name="Naam" queryTableFieldId="2" dataDxfId="20"/>
    <tableColumn id="3" xr3:uid="{560F5C3D-D580-44C7-B8EC-1DCE16E43A23}" uniqueName="3" name="Van" queryTableFieldId="3" dataDxfId="19"/>
    <tableColumn id="4" xr3:uid="{96C6FD56-AD9E-4182-B8F9-E57A8D3D7FF8}" uniqueName="4" name="CN" queryTableFieldId="4"/>
    <tableColumn id="5" xr3:uid="{E09A3B5A-0808-444C-8C83-A47EB11CDC37}" uniqueName="5" name="Kratte" queryTableFieldId="8"/>
    <tableColumn id="6" xr3:uid="{E353E700-E2BF-4E29-87C8-426644430EF1}" uniqueName="6" name="Taak" queryTableFieldId="9" dataDxfId="1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81DE0F-6E93-4398-9BED-3488B5CC694B}" name="Table_0__2" displayName="Table_0__2" ref="A2:D7" tableType="queryTable" totalsRowShown="0">
  <autoFilter ref="A2:D7" xr:uid="{B0BA1F41-192E-4BF6-BE42-640D43CF2970}"/>
  <tableColumns count="4">
    <tableColumn id="1" xr3:uid="{3FC924C1-206F-451C-BE26-B5F86DF4BFF0}" uniqueName="1" name="ID" queryTableFieldId="1"/>
    <tableColumn id="2" xr3:uid="{8C25C7BB-2827-4804-907D-C7C3EFB51500}" uniqueName="2" name="Naam" queryTableFieldId="2" dataDxfId="1"/>
    <tableColumn id="3" xr3:uid="{2760D38F-AD60-41E4-93AC-48DB614EA7AC}" uniqueName="3" name="Van" queryTableFieldId="3" dataDxfId="0"/>
    <tableColumn id="4" xr3:uid="{913D611B-78DD-47E3-90C1-EBDA2E7E79AC}" uniqueName="4" name="CN" queryTableField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9F3BB0-6DAD-4092-8E61-5D55E4C7AE79}" name="Table_0" displayName="Table_0" ref="A2:H4" tableType="queryTable" totalsRowShown="0">
  <autoFilter ref="A2:H4" xr:uid="{C504740C-3C28-4156-A220-38CCFC00CE37}"/>
  <tableColumns count="8">
    <tableColumn id="1" xr3:uid="{BF3B0A31-15A1-4633-A2FE-D4FFBDAFEFAF}" uniqueName="1" name="ID" queryTableFieldId="1"/>
    <tableColumn id="2" xr3:uid="{4981C876-C63E-458E-B337-F51927B051A0}" uniqueName="2" name="Naam" queryTableFieldId="2" dataDxfId="17"/>
    <tableColumn id="3" xr3:uid="{387C049A-D72D-41D7-84D0-59CE5216EF28}" uniqueName="3" name="Van" queryTableFieldId="3" dataDxfId="16"/>
    <tableColumn id="4" xr3:uid="{5ED54337-1916-4C24-94B2-B6241F3C901A}" uniqueName="4" name="CN" queryTableFieldId="4"/>
    <tableColumn id="9" xr3:uid="{8C0F6BB2-201D-4C8E-A0BC-C951BD0CC996}" uniqueName="9" name="Plaas Naam" queryTableFieldId="12" dataDxfId="15"/>
    <tableColumn id="10" xr3:uid="{EFFF82FE-5697-4C51-8DBF-B143FE615F4C}" uniqueName="10" name="Plaas Afkorting" queryTableFieldId="13" dataDxfId="14"/>
    <tableColumn id="7" xr3:uid="{BE4606E3-11C5-4A42-8F2D-7D216741466B}" uniqueName="7" name="Volle Naam" queryTableFieldId="10" dataDxfId="13"/>
    <tableColumn id="11" xr3:uid="{96000B9F-B9AC-4A48-AEEF-6240AE928B61}" uniqueName="11" name="Naam Afkorting" queryTableFieldId="16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FE253FE-F177-48DC-8A51-0E192D37D06E}" name="Table_0__7" displayName="Table_0__7" ref="A2:C6" tableType="queryTable" totalsRowShown="0">
  <autoFilter ref="A2:C6" xr:uid="{1AFAE98B-FF10-4E2A-807C-581CDDF966EA}"/>
  <tableColumns count="3">
    <tableColumn id="1" xr3:uid="{622B8E7D-7F3E-42CB-AB1F-419B2F302F5F}" uniqueName="1" name="ID" queryTableFieldId="1"/>
    <tableColumn id="2" xr3:uid="{D158CB45-BEEA-4CAC-A44B-50FC0C09FB93}" uniqueName="2" name="Naam" queryTableFieldId="2" dataDxfId="11"/>
    <tableColumn id="3" xr3:uid="{601B0D91-E1B5-4579-9A18-FF211CFF90DA}" uniqueName="3" name="Afkorting" queryTableFieldId="3" dataDxf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9125C7-444C-493A-AC05-C17AC54713C8}" name="Table_0__8" displayName="Table_0__8" ref="A2:C5" tableType="queryTable" totalsRowShown="0">
  <autoFilter ref="A2:C5" xr:uid="{40D727FE-1798-4BCF-AB52-8C7C9E534F6E}"/>
  <tableColumns count="3">
    <tableColumn id="1" xr3:uid="{D9E34383-C45F-40FB-8614-BA7561852FCF}" uniqueName="1" name="ID" queryTableFieldId="1"/>
    <tableColumn id="2" xr3:uid="{A78911FF-BD0A-4421-8410-BD89B4229B82}" uniqueName="2" name="Naam" queryTableFieldId="2" dataDxfId="9"/>
    <tableColumn id="3" xr3:uid="{EFC9CB94-19BF-49EE-8828-373148B78E74}" uniqueName="3" name="Afkorting" queryTableFieldId="3" dataDxfId="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AD3D5A-B827-46C1-BB56-0401A857BA4F}" name="Table_0__9" displayName="Table_0__9" ref="A2:C6" tableType="queryTable" totalsRowShown="0">
  <autoFilter ref="A2:C6" xr:uid="{3993BEED-00CA-4673-AF15-BFA81B938CDF}"/>
  <tableColumns count="3">
    <tableColumn id="1" xr3:uid="{2A778B1E-6A64-4225-9481-80DCCFDEA0BC}" uniqueName="1" name="ID" queryTableFieldId="1"/>
    <tableColumn id="2" xr3:uid="{5C74C88F-2CB5-4913-B43F-BB11A9247AD5}" uniqueName="2" name="Naam" queryTableFieldId="2" dataDxfId="7"/>
    <tableColumn id="3" xr3:uid="{8D77A367-840D-4263-9CD6-9596CBAD24A2}" uniqueName="3" name="Afkorting" queryTableFieldId="3" dataDxf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261470-24FD-41BA-9436-4ABA1F6ACFB4}" name="Table_0__10" displayName="Table_0__10" ref="A2:D7" tableType="queryTable" totalsRowShown="0">
  <autoFilter ref="A2:D7" xr:uid="{81E73EE2-67FE-4810-8EB8-15D0E01B274C}"/>
  <tableColumns count="4">
    <tableColumn id="1" xr3:uid="{B6AC785C-95BD-4A9F-B4BB-B883EDBCB81B}" uniqueName="1" name="ID" queryTableFieldId="1"/>
    <tableColumn id="2" xr3:uid="{332BD233-155D-4140-9B26-48F3E3954F41}" uniqueName="2" name="Naam" queryTableFieldId="2" dataDxfId="5"/>
    <tableColumn id="3" xr3:uid="{D7A7BD74-B69A-4968-B3DE-E18B7CEECBE6}" uniqueName="3" name="Afkorting" queryTableFieldId="3" dataDxfId="4"/>
    <tableColumn id="5" xr3:uid="{EB044A9C-A72E-4B07-8C7C-E0BD4AC3A478}" uniqueName="5" name="Plaas ID" queryTableFieldId="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3C2113-4463-4896-A27C-BB0BB27A84F1}" name="Table_0__6" displayName="Table_0__6" ref="A2:C9" tableType="queryTable" totalsRowShown="0">
  <autoFilter ref="A2:C9" xr:uid="{093418D4-4645-4AB0-91E0-9A4EBEBCCB24}"/>
  <tableColumns count="3">
    <tableColumn id="1" xr3:uid="{0E29DED0-EC58-465E-8C9B-C5899EAF004B}" uniqueName="1" name="ID" queryTableFieldId="1"/>
    <tableColumn id="2" xr3:uid="{381B1776-13AD-40F8-9DA6-929E149BE031}" uniqueName="2" name="Naam" queryTableFieldId="2" dataDxfId="3"/>
    <tableColumn id="3" xr3:uid="{724EEFBE-9BE4-4229-8A5F-307D9F62C6EA}" uniqueName="3" name="Beskrywing" queryTableFieldId="3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xceljet.net/excel-functions/excel-sumifs-function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https://exceljet.net/excel-functions/excel-sumifs-function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xceljet.net/excel-functions/excel-sumifs-function" TargetMode="External"/><Relationship Id="rId1" Type="http://schemas.openxmlformats.org/officeDocument/2006/relationships/hyperlink" Target="https://exceljet.net/excel-functions/excel-sumifs-function" TargetMode="Externa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D40C6-DA03-4384-86EB-73FE4DA7B17A}">
  <sheetPr codeName="Sheet1"/>
  <dimension ref="A5:H20"/>
  <sheetViews>
    <sheetView showGridLines="0" tabSelected="1" workbookViewId="0">
      <selection activeCell="C7" sqref="C7"/>
    </sheetView>
  </sheetViews>
  <sheetFormatPr defaultRowHeight="15" x14ac:dyDescent="0.25"/>
  <cols>
    <col min="1" max="1" width="7.28515625" customWidth="1"/>
    <col min="2" max="2" width="14.85546875" bestFit="1" customWidth="1"/>
    <col min="3" max="3" width="19.28515625" bestFit="1" customWidth="1"/>
    <col min="5" max="5" width="5.28515625" customWidth="1"/>
    <col min="6" max="6" width="19.28515625" customWidth="1"/>
  </cols>
  <sheetData>
    <row r="5" spans="1:8" ht="14.45" customHeight="1" x14ac:dyDescent="0.35">
      <c r="A5" s="5"/>
      <c r="B5" s="6"/>
      <c r="C5" s="6"/>
      <c r="D5" s="6"/>
      <c r="E5" s="6"/>
      <c r="F5" s="7"/>
      <c r="G5" s="5"/>
    </row>
    <row r="6" spans="1:8" ht="29.45" customHeight="1" thickBot="1" x14ac:dyDescent="0.4">
      <c r="B6" s="8"/>
      <c r="C6" s="8"/>
      <c r="D6" s="8"/>
      <c r="E6" s="8"/>
      <c r="F6" s="8"/>
      <c r="G6" s="8"/>
      <c r="H6" s="8"/>
    </row>
    <row r="7" spans="1:8" s="12" customFormat="1" ht="25.9" customHeight="1" thickBot="1" x14ac:dyDescent="0.3">
      <c r="B7" s="13"/>
      <c r="C7" s="9" t="s">
        <v>83</v>
      </c>
      <c r="D7" s="13"/>
      <c r="E7" s="13"/>
      <c r="F7" s="9" t="s">
        <v>84</v>
      </c>
      <c r="G7" s="13"/>
      <c r="H7" s="13"/>
    </row>
    <row r="8" spans="1:8" s="12" customFormat="1" ht="25.9" customHeight="1" thickBot="1" x14ac:dyDescent="0.3">
      <c r="B8" s="13"/>
      <c r="C8" s="13"/>
      <c r="D8" s="13"/>
      <c r="E8" s="13"/>
      <c r="F8" s="13"/>
      <c r="G8" s="13"/>
      <c r="H8" s="13"/>
    </row>
    <row r="9" spans="1:8" s="12" customFormat="1" ht="25.9" customHeight="1" thickBot="1" x14ac:dyDescent="0.3">
      <c r="B9" s="13"/>
      <c r="C9" s="10" t="s">
        <v>85</v>
      </c>
      <c r="D9" s="13"/>
      <c r="E9" s="13"/>
      <c r="F9" s="9" t="s">
        <v>89</v>
      </c>
      <c r="G9" s="13"/>
      <c r="H9" s="13"/>
    </row>
    <row r="10" spans="1:8" s="12" customFormat="1" ht="25.9" customHeight="1" thickBot="1" x14ac:dyDescent="0.3">
      <c r="B10" s="13"/>
      <c r="C10" s="13"/>
      <c r="D10" s="13"/>
      <c r="E10" s="13"/>
      <c r="F10" s="13"/>
      <c r="G10" s="13"/>
      <c r="H10" s="13"/>
    </row>
    <row r="11" spans="1:8" s="12" customFormat="1" ht="25.9" customHeight="1" thickBot="1" x14ac:dyDescent="0.3">
      <c r="B11" s="13"/>
      <c r="C11" s="9" t="s">
        <v>86</v>
      </c>
      <c r="D11" s="13"/>
      <c r="E11" s="13"/>
      <c r="F11" s="9" t="s">
        <v>90</v>
      </c>
      <c r="G11" s="13"/>
      <c r="H11" s="13"/>
    </row>
    <row r="12" spans="1:8" s="12" customFormat="1" ht="25.9" customHeight="1" thickBot="1" x14ac:dyDescent="0.3">
      <c r="B12" s="13"/>
      <c r="C12" s="13"/>
      <c r="D12" s="13"/>
      <c r="E12" s="13"/>
      <c r="F12" s="13"/>
      <c r="G12" s="13"/>
      <c r="H12" s="13"/>
    </row>
    <row r="13" spans="1:8" s="12" customFormat="1" ht="25.9" customHeight="1" thickBot="1" x14ac:dyDescent="0.3">
      <c r="B13" s="13"/>
      <c r="C13" s="9" t="s">
        <v>87</v>
      </c>
      <c r="D13" s="13"/>
      <c r="E13" s="13"/>
      <c r="F13" s="9" t="s">
        <v>91</v>
      </c>
      <c r="G13" s="13"/>
      <c r="H13" s="13"/>
    </row>
    <row r="14" spans="1:8" s="12" customFormat="1" ht="25.9" customHeight="1" thickBot="1" x14ac:dyDescent="0.3">
      <c r="B14" s="13"/>
      <c r="C14" s="13"/>
      <c r="D14" s="13"/>
      <c r="E14" s="13"/>
      <c r="F14" s="13"/>
      <c r="G14" s="13"/>
      <c r="H14" s="13"/>
    </row>
    <row r="15" spans="1:8" s="12" customFormat="1" ht="25.9" customHeight="1" thickBot="1" x14ac:dyDescent="0.3">
      <c r="B15" s="13"/>
      <c r="C15" s="9" t="s">
        <v>88</v>
      </c>
      <c r="D15" s="13"/>
      <c r="E15" s="13"/>
      <c r="F15" s="9" t="s">
        <v>92</v>
      </c>
      <c r="G15" s="13"/>
      <c r="H15" s="13"/>
    </row>
    <row r="16" spans="1:8" ht="23.25" x14ac:dyDescent="0.35">
      <c r="B16" s="8"/>
      <c r="C16" s="8"/>
      <c r="D16" s="8"/>
      <c r="E16" s="8"/>
      <c r="F16" s="8"/>
      <c r="G16" s="8"/>
      <c r="H16" s="8"/>
    </row>
    <row r="17" spans="1:8" ht="23.25" x14ac:dyDescent="0.35">
      <c r="B17" s="8"/>
      <c r="C17" s="8"/>
      <c r="D17" s="8"/>
      <c r="E17" s="8"/>
      <c r="F17" s="8"/>
      <c r="G17" s="8"/>
      <c r="H17" s="8"/>
    </row>
    <row r="18" spans="1:8" ht="23.25" x14ac:dyDescent="0.35">
      <c r="A18" s="5"/>
      <c r="B18" s="5"/>
      <c r="C18" s="5"/>
      <c r="D18" s="5"/>
      <c r="E18" s="5"/>
      <c r="F18" s="5"/>
      <c r="G18" s="5"/>
      <c r="H18" s="5"/>
    </row>
    <row r="19" spans="1:8" ht="23.25" x14ac:dyDescent="0.35">
      <c r="A19" s="5"/>
      <c r="B19" s="5"/>
      <c r="C19" s="5"/>
      <c r="D19" s="5"/>
      <c r="E19" s="5"/>
      <c r="F19" s="5"/>
      <c r="G19" s="5"/>
    </row>
    <row r="20" spans="1:8" ht="23.25" x14ac:dyDescent="0.35">
      <c r="A20" s="5"/>
      <c r="B20" s="5"/>
      <c r="C20" s="5"/>
      <c r="D20" s="5"/>
      <c r="E20" s="5"/>
      <c r="F20" s="5"/>
      <c r="G20" s="5"/>
    </row>
  </sheetData>
  <hyperlinks>
    <hyperlink ref="C7" location="Tydkaarte!A1" display="Tydkaarte" xr:uid="{C64DA559-1E35-41B3-AC8B-CFEB3E25F8AF}"/>
    <hyperlink ref="F7" location="Gewasse!A1" display="Gewasse" xr:uid="{02DB24FA-848E-423B-BC26-4F2C12623DC6}"/>
    <hyperlink ref="C9" location="'Tyd Per Taak'!A1" display="Tyd Per Taak" xr:uid="{58263976-39C5-4A9C-A1FD-E6F07BC50689}"/>
    <hyperlink ref="C11" location="Bins!A1" display="Bins" xr:uid="{800F643A-97EE-4686-8A62-46714B719F88}"/>
    <hyperlink ref="C13" location="Werkers!A1" display="Werkers" xr:uid="{85025F5F-DA1E-4FE5-B802-090286E15DD0}"/>
    <hyperlink ref="C15" location="Gebruikers!A1" display="Gebruikers" xr:uid="{E47F0549-3615-4CE6-862A-05F44D6C7BCC}"/>
    <hyperlink ref="F9" location="Plase!A1" display="Plase" xr:uid="{FFBF9A65-082E-4997-A5E6-D92BF6DB7107}"/>
    <hyperlink ref="F11" location="Take!A1" display="Take" xr:uid="{CF494D68-57A9-459A-BC81-D24DBC419274}"/>
    <hyperlink ref="F13" location="Spilpunte!A1" display="Spilpunte" xr:uid="{D4EEE1C4-6E7D-4F62-BBF7-1089E80C2828}"/>
    <hyperlink ref="F15" location="Toegang!A1" display="Toegang" xr:uid="{772BC63B-8C6A-48FF-ACE6-27944D8D585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>
                  <from>
                    <xdr:col>2</xdr:col>
                    <xdr:colOff>647700</xdr:colOff>
                    <xdr:row>16</xdr:row>
                    <xdr:rowOff>19050</xdr:rowOff>
                  </from>
                  <to>
                    <xdr:col>5</xdr:col>
                    <xdr:colOff>819150</xdr:colOff>
                    <xdr:row>17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E97CB-CF18-49CE-A124-E9E48FC27DDC}">
  <sheetPr codeName="Sheet2"/>
  <dimension ref="A1:U37"/>
  <sheetViews>
    <sheetView workbookViewId="0">
      <selection activeCell="S2" sqref="S2"/>
    </sheetView>
  </sheetViews>
  <sheetFormatPr defaultRowHeight="15" x14ac:dyDescent="0.25"/>
  <cols>
    <col min="1" max="1" width="5" bestFit="1" customWidth="1"/>
    <col min="2" max="2" width="14.42578125" customWidth="1"/>
    <col min="3" max="3" width="8.140625" bestFit="1" customWidth="1"/>
    <col min="4" max="4" width="11.140625" bestFit="1" customWidth="1"/>
    <col min="5" max="5" width="10" bestFit="1" customWidth="1"/>
    <col min="6" max="6" width="16.28515625" bestFit="1" customWidth="1"/>
    <col min="7" max="7" width="14.42578125" bestFit="1" customWidth="1"/>
    <col min="8" max="8" width="10.7109375" bestFit="1" customWidth="1"/>
    <col min="9" max="9" width="13" bestFit="1" customWidth="1"/>
    <col min="10" max="10" width="15.85546875" bestFit="1" customWidth="1"/>
    <col min="11" max="11" width="12.140625" bestFit="1" customWidth="1"/>
    <col min="12" max="12" width="12" bestFit="1" customWidth="1"/>
    <col min="16" max="16" width="13.7109375" style="12" customWidth="1"/>
    <col min="17" max="17" width="4" style="12" customWidth="1"/>
    <col min="18" max="18" width="15.28515625" style="12" customWidth="1"/>
    <col min="19" max="19" width="13.7109375" style="12" customWidth="1"/>
    <col min="20" max="21" width="9.140625" style="12"/>
  </cols>
  <sheetData>
    <row r="1" spans="1:19" ht="16.5" thickBot="1" x14ac:dyDescent="0.3">
      <c r="O1" s="15"/>
      <c r="P1" s="17" t="s">
        <v>94</v>
      </c>
      <c r="Q1" s="27"/>
      <c r="R1" s="25" t="s">
        <v>96</v>
      </c>
      <c r="S1" s="25" t="s">
        <v>99</v>
      </c>
    </row>
    <row r="2" spans="1:19" ht="24" thickBot="1" x14ac:dyDescent="0.4">
      <c r="A2" t="s">
        <v>0</v>
      </c>
      <c r="B2" t="s">
        <v>21</v>
      </c>
      <c r="C2" t="s">
        <v>1</v>
      </c>
      <c r="D2" t="s">
        <v>2</v>
      </c>
      <c r="E2" t="s">
        <v>3</v>
      </c>
      <c r="F2" t="s">
        <v>22</v>
      </c>
      <c r="G2" t="s">
        <v>23</v>
      </c>
      <c r="H2" t="s">
        <v>19</v>
      </c>
      <c r="I2" t="s">
        <v>24</v>
      </c>
      <c r="J2" t="s">
        <v>25</v>
      </c>
      <c r="K2" t="s">
        <v>26</v>
      </c>
      <c r="L2" t="s">
        <v>27</v>
      </c>
      <c r="N2" s="4" t="s">
        <v>82</v>
      </c>
      <c r="O2" s="15"/>
      <c r="P2" s="26">
        <f>SUBTOTAL(109,B:B)</f>
        <v>19.258333333333344</v>
      </c>
      <c r="Q2" s="27"/>
      <c r="R2" s="21">
        <v>12</v>
      </c>
      <c r="S2" s="24">
        <f>SUMIF(E:E,R2,B:B)</f>
        <v>1.026388888888889</v>
      </c>
    </row>
    <row r="3" spans="1:19" x14ac:dyDescent="0.25">
      <c r="A3">
        <v>2</v>
      </c>
      <c r="B3" s="14">
        <v>0.68541666666666667</v>
      </c>
      <c r="C3" s="1" t="s">
        <v>9</v>
      </c>
      <c r="D3" s="1" t="s">
        <v>10</v>
      </c>
      <c r="E3">
        <v>1000</v>
      </c>
      <c r="F3" s="1" t="s">
        <v>4</v>
      </c>
      <c r="G3" s="1" t="s">
        <v>10</v>
      </c>
      <c r="H3" s="2">
        <v>44209</v>
      </c>
      <c r="I3" s="1"/>
      <c r="J3" s="1"/>
      <c r="K3" s="1"/>
      <c r="L3" s="1" t="s">
        <v>28</v>
      </c>
    </row>
    <row r="4" spans="1:19" x14ac:dyDescent="0.25">
      <c r="A4">
        <v>4</v>
      </c>
      <c r="B4" s="14">
        <v>0.85624999999999996</v>
      </c>
      <c r="C4" s="1" t="s">
        <v>9</v>
      </c>
      <c r="D4" s="1" t="s">
        <v>10</v>
      </c>
      <c r="E4">
        <v>1000</v>
      </c>
      <c r="F4" s="1" t="s">
        <v>4</v>
      </c>
      <c r="G4" s="1" t="s">
        <v>10</v>
      </c>
      <c r="H4" s="2">
        <v>44209</v>
      </c>
      <c r="I4" s="1"/>
      <c r="J4" s="1"/>
      <c r="K4" s="1"/>
      <c r="L4" s="1" t="s">
        <v>28</v>
      </c>
    </row>
    <row r="5" spans="1:19" x14ac:dyDescent="0.25">
      <c r="A5">
        <v>6</v>
      </c>
      <c r="B5" s="14">
        <v>0.85763888888888884</v>
      </c>
      <c r="C5" s="1" t="s">
        <v>9</v>
      </c>
      <c r="D5" s="1" t="s">
        <v>10</v>
      </c>
      <c r="E5">
        <v>1000</v>
      </c>
      <c r="F5" s="1" t="s">
        <v>4</v>
      </c>
      <c r="G5" s="1" t="s">
        <v>10</v>
      </c>
      <c r="H5" s="2">
        <v>44209</v>
      </c>
      <c r="I5" s="1"/>
      <c r="J5" s="1"/>
      <c r="K5" s="1"/>
      <c r="L5" s="1" t="s">
        <v>28</v>
      </c>
    </row>
    <row r="6" spans="1:19" x14ac:dyDescent="0.25">
      <c r="A6">
        <v>8</v>
      </c>
      <c r="B6" s="14">
        <v>0.41875000000000001</v>
      </c>
      <c r="C6" s="1" t="s">
        <v>9</v>
      </c>
      <c r="D6" s="1" t="s">
        <v>10</v>
      </c>
      <c r="E6">
        <v>1000</v>
      </c>
      <c r="F6" s="1" t="s">
        <v>4</v>
      </c>
      <c r="G6" s="1" t="s">
        <v>10</v>
      </c>
      <c r="H6" s="2">
        <v>44214</v>
      </c>
      <c r="I6" s="1"/>
      <c r="J6" s="1"/>
      <c r="K6" s="1"/>
      <c r="L6" s="1" t="s">
        <v>28</v>
      </c>
    </row>
    <row r="7" spans="1:19" x14ac:dyDescent="0.25">
      <c r="A7">
        <v>10</v>
      </c>
      <c r="B7" s="14">
        <v>0.4201388888888889</v>
      </c>
      <c r="C7" s="1" t="s">
        <v>9</v>
      </c>
      <c r="D7" s="1" t="s">
        <v>10</v>
      </c>
      <c r="E7">
        <v>1000</v>
      </c>
      <c r="F7" s="1" t="s">
        <v>4</v>
      </c>
      <c r="G7" s="1" t="s">
        <v>10</v>
      </c>
      <c r="H7" s="2">
        <v>44214</v>
      </c>
      <c r="I7" s="1"/>
      <c r="J7" s="1"/>
      <c r="K7" s="1"/>
      <c r="L7" s="1" t="s">
        <v>28</v>
      </c>
    </row>
    <row r="8" spans="1:19" x14ac:dyDescent="0.25">
      <c r="A8">
        <v>12</v>
      </c>
      <c r="B8" s="14">
        <v>0.42152777777777778</v>
      </c>
      <c r="C8" s="1" t="s">
        <v>9</v>
      </c>
      <c r="D8" s="1" t="s">
        <v>10</v>
      </c>
      <c r="E8">
        <v>1000</v>
      </c>
      <c r="F8" s="1" t="s">
        <v>4</v>
      </c>
      <c r="G8" s="1" t="s">
        <v>10</v>
      </c>
      <c r="H8" s="2">
        <v>44214</v>
      </c>
      <c r="I8" s="1"/>
      <c r="J8" s="1"/>
      <c r="K8" s="1"/>
      <c r="L8" s="1" t="s">
        <v>28</v>
      </c>
    </row>
    <row r="9" spans="1:19" x14ac:dyDescent="0.25">
      <c r="A9">
        <v>14</v>
      </c>
      <c r="B9" s="14">
        <v>0.42916666666666664</v>
      </c>
      <c r="C9" s="1" t="s">
        <v>9</v>
      </c>
      <c r="D9" s="1" t="s">
        <v>10</v>
      </c>
      <c r="E9">
        <v>1000</v>
      </c>
      <c r="F9" s="1" t="s">
        <v>4</v>
      </c>
      <c r="G9" s="1" t="s">
        <v>10</v>
      </c>
      <c r="H9" s="2">
        <v>44214</v>
      </c>
      <c r="I9" s="1"/>
      <c r="J9" s="1"/>
      <c r="K9" s="1"/>
      <c r="L9" s="1" t="s">
        <v>28</v>
      </c>
    </row>
    <row r="10" spans="1:19" x14ac:dyDescent="0.25">
      <c r="A10">
        <v>16</v>
      </c>
      <c r="B10" s="14">
        <v>0.42986111111111114</v>
      </c>
      <c r="C10" s="1" t="s">
        <v>9</v>
      </c>
      <c r="D10" s="1" t="s">
        <v>10</v>
      </c>
      <c r="E10">
        <v>1000</v>
      </c>
      <c r="F10" s="1" t="s">
        <v>4</v>
      </c>
      <c r="G10" s="1" t="s">
        <v>10</v>
      </c>
      <c r="H10" s="2">
        <v>44214</v>
      </c>
      <c r="I10" s="1"/>
      <c r="J10" s="1"/>
      <c r="K10" s="1"/>
      <c r="L10" s="1" t="s">
        <v>28</v>
      </c>
    </row>
    <row r="11" spans="1:19" x14ac:dyDescent="0.25">
      <c r="A11">
        <v>18</v>
      </c>
      <c r="B11" s="14">
        <v>0.67361111111111116</v>
      </c>
      <c r="C11" s="1" t="s">
        <v>9</v>
      </c>
      <c r="D11" s="1" t="s">
        <v>10</v>
      </c>
      <c r="E11">
        <v>1000</v>
      </c>
      <c r="F11" s="1" t="s">
        <v>4</v>
      </c>
      <c r="G11" s="1" t="s">
        <v>10</v>
      </c>
      <c r="H11" s="2">
        <v>44214</v>
      </c>
      <c r="I11" s="1"/>
      <c r="J11" s="1"/>
      <c r="K11" s="1"/>
      <c r="L11" s="1" t="s">
        <v>28</v>
      </c>
    </row>
    <row r="12" spans="1:19" x14ac:dyDescent="0.25">
      <c r="A12">
        <v>20</v>
      </c>
      <c r="B12" s="14">
        <v>0.6743055555555556</v>
      </c>
      <c r="C12" s="1" t="s">
        <v>9</v>
      </c>
      <c r="D12" s="1" t="s">
        <v>10</v>
      </c>
      <c r="E12">
        <v>1000</v>
      </c>
      <c r="F12" s="1" t="s">
        <v>4</v>
      </c>
      <c r="G12" s="1" t="s">
        <v>10</v>
      </c>
      <c r="H12" s="2">
        <v>44214</v>
      </c>
      <c r="I12" s="1"/>
      <c r="J12" s="1"/>
      <c r="K12" s="1"/>
      <c r="L12" s="1" t="s">
        <v>28</v>
      </c>
    </row>
    <row r="13" spans="1:19" x14ac:dyDescent="0.25">
      <c r="A13">
        <v>23</v>
      </c>
      <c r="B13" s="3">
        <v>0.74236111111111114</v>
      </c>
      <c r="C13" s="1" t="s">
        <v>13</v>
      </c>
      <c r="D13" s="1" t="s">
        <v>14</v>
      </c>
      <c r="E13">
        <v>123456789</v>
      </c>
      <c r="F13" s="1" t="s">
        <v>4</v>
      </c>
      <c r="G13" s="1" t="s">
        <v>14</v>
      </c>
      <c r="H13" s="2">
        <v>44214</v>
      </c>
      <c r="I13" s="1"/>
      <c r="J13" s="1"/>
      <c r="K13" s="1"/>
      <c r="L13" s="1" t="s">
        <v>28</v>
      </c>
    </row>
    <row r="14" spans="1:19" x14ac:dyDescent="0.25">
      <c r="A14">
        <v>26</v>
      </c>
      <c r="B14" s="3">
        <v>0.60486111111111107</v>
      </c>
      <c r="C14" s="1" t="s">
        <v>13</v>
      </c>
      <c r="D14" s="1" t="s">
        <v>14</v>
      </c>
      <c r="E14">
        <v>123456789</v>
      </c>
      <c r="F14" s="1" t="s">
        <v>4</v>
      </c>
      <c r="G14" s="1" t="s">
        <v>14</v>
      </c>
      <c r="H14" s="2">
        <v>44215</v>
      </c>
      <c r="I14" s="1"/>
      <c r="J14" s="1"/>
      <c r="K14" s="1"/>
      <c r="L14" s="1" t="s">
        <v>28</v>
      </c>
    </row>
    <row r="15" spans="1:19" x14ac:dyDescent="0.25">
      <c r="A15">
        <v>28</v>
      </c>
      <c r="B15" s="3">
        <v>0.60763888888888884</v>
      </c>
      <c r="C15" s="1" t="s">
        <v>13</v>
      </c>
      <c r="D15" s="1" t="s">
        <v>14</v>
      </c>
      <c r="E15">
        <v>123456789</v>
      </c>
      <c r="F15" s="1" t="s">
        <v>4</v>
      </c>
      <c r="G15" s="1" t="s">
        <v>14</v>
      </c>
      <c r="H15" s="2">
        <v>44215</v>
      </c>
      <c r="I15" s="1"/>
      <c r="J15" s="1"/>
      <c r="K15" s="1"/>
      <c r="L15" s="1" t="s">
        <v>28</v>
      </c>
    </row>
    <row r="16" spans="1:19" x14ac:dyDescent="0.25">
      <c r="A16">
        <v>30</v>
      </c>
      <c r="B16" s="3">
        <v>0.60902777777777772</v>
      </c>
      <c r="C16" s="1" t="s">
        <v>13</v>
      </c>
      <c r="D16" s="1" t="s">
        <v>14</v>
      </c>
      <c r="E16">
        <v>123456789</v>
      </c>
      <c r="F16" s="1" t="s">
        <v>4</v>
      </c>
      <c r="G16" s="1" t="s">
        <v>14</v>
      </c>
      <c r="H16" s="2">
        <v>44215</v>
      </c>
      <c r="I16" s="1"/>
      <c r="J16" s="1"/>
      <c r="K16" s="1"/>
      <c r="L16" s="1" t="s">
        <v>28</v>
      </c>
    </row>
    <row r="17" spans="1:12" x14ac:dyDescent="0.25">
      <c r="A17">
        <v>32</v>
      </c>
      <c r="B17" s="3">
        <v>0.61041666666666672</v>
      </c>
      <c r="C17" s="1" t="s">
        <v>13</v>
      </c>
      <c r="D17" s="1" t="s">
        <v>14</v>
      </c>
      <c r="E17">
        <v>123456789</v>
      </c>
      <c r="F17" s="1" t="s">
        <v>4</v>
      </c>
      <c r="G17" s="1" t="s">
        <v>14</v>
      </c>
      <c r="H17" s="2">
        <v>44215</v>
      </c>
      <c r="I17" s="1"/>
      <c r="J17" s="1"/>
      <c r="K17" s="1"/>
      <c r="L17" s="1" t="s">
        <v>28</v>
      </c>
    </row>
    <row r="18" spans="1:12" x14ac:dyDescent="0.25">
      <c r="A18">
        <v>34</v>
      </c>
      <c r="B18" s="3">
        <v>0.71458333333333335</v>
      </c>
      <c r="C18" s="1" t="s">
        <v>13</v>
      </c>
      <c r="D18" s="1" t="s">
        <v>14</v>
      </c>
      <c r="E18">
        <v>123456789</v>
      </c>
      <c r="F18" s="1" t="s">
        <v>4</v>
      </c>
      <c r="G18" s="1" t="s">
        <v>14</v>
      </c>
      <c r="H18" s="2">
        <v>44215</v>
      </c>
      <c r="I18" s="1"/>
      <c r="J18" s="1"/>
      <c r="K18" s="1"/>
      <c r="L18" s="1" t="s">
        <v>28</v>
      </c>
    </row>
    <row r="19" spans="1:12" x14ac:dyDescent="0.25">
      <c r="A19">
        <v>46</v>
      </c>
      <c r="B19" s="14">
        <v>0.6791666666666667</v>
      </c>
      <c r="C19" s="1" t="s">
        <v>9</v>
      </c>
      <c r="D19" s="1" t="s">
        <v>10</v>
      </c>
      <c r="E19">
        <v>1000</v>
      </c>
      <c r="F19" s="1" t="s">
        <v>4</v>
      </c>
      <c r="G19" s="1" t="s">
        <v>10</v>
      </c>
      <c r="H19" s="2">
        <v>44219</v>
      </c>
      <c r="I19" s="1"/>
      <c r="J19" s="1"/>
      <c r="K19" s="1"/>
      <c r="L19" s="1" t="s">
        <v>28</v>
      </c>
    </row>
    <row r="20" spans="1:12" x14ac:dyDescent="0.25">
      <c r="A20">
        <v>55</v>
      </c>
      <c r="B20" s="3">
        <v>0.41597222222222224</v>
      </c>
      <c r="C20" s="1" t="s">
        <v>11</v>
      </c>
      <c r="D20" s="1" t="s">
        <v>12</v>
      </c>
      <c r="E20">
        <v>2000</v>
      </c>
      <c r="F20" s="1" t="s">
        <v>4</v>
      </c>
      <c r="G20" s="1" t="s">
        <v>12</v>
      </c>
      <c r="H20" s="2">
        <v>44221</v>
      </c>
      <c r="I20" s="1"/>
      <c r="J20" s="1"/>
      <c r="K20" s="1"/>
      <c r="L20" s="1" t="s">
        <v>28</v>
      </c>
    </row>
    <row r="21" spans="1:12" x14ac:dyDescent="0.25">
      <c r="A21">
        <v>56</v>
      </c>
      <c r="B21" s="14">
        <v>0.41597222222222224</v>
      </c>
      <c r="C21" s="1" t="s">
        <v>9</v>
      </c>
      <c r="D21" s="1" t="s">
        <v>10</v>
      </c>
      <c r="E21">
        <v>1000</v>
      </c>
      <c r="F21" s="1" t="s">
        <v>4</v>
      </c>
      <c r="G21" s="1" t="s">
        <v>10</v>
      </c>
      <c r="H21" s="2">
        <v>44221</v>
      </c>
      <c r="I21" s="1"/>
      <c r="J21" s="1"/>
      <c r="K21" s="1"/>
      <c r="L21" s="1" t="s">
        <v>28</v>
      </c>
    </row>
    <row r="22" spans="1:12" x14ac:dyDescent="0.25">
      <c r="A22">
        <v>59</v>
      </c>
      <c r="B22" s="14">
        <v>0.41666666666666669</v>
      </c>
      <c r="C22" s="1" t="s">
        <v>9</v>
      </c>
      <c r="D22" s="1" t="s">
        <v>10</v>
      </c>
      <c r="E22">
        <v>1000</v>
      </c>
      <c r="F22" s="1" t="s">
        <v>4</v>
      </c>
      <c r="G22" s="1" t="s">
        <v>10</v>
      </c>
      <c r="H22" s="2">
        <v>44221</v>
      </c>
      <c r="I22" s="1"/>
      <c r="J22" s="1"/>
      <c r="K22" s="1"/>
      <c r="L22" s="1" t="s">
        <v>28</v>
      </c>
    </row>
    <row r="23" spans="1:12" x14ac:dyDescent="0.25">
      <c r="A23">
        <v>60</v>
      </c>
      <c r="B23" s="3">
        <v>0.41666666666666669</v>
      </c>
      <c r="C23" s="1" t="s">
        <v>11</v>
      </c>
      <c r="D23" s="1" t="s">
        <v>12</v>
      </c>
      <c r="E23">
        <v>2000</v>
      </c>
      <c r="F23" s="1" t="s">
        <v>4</v>
      </c>
      <c r="G23" s="1" t="s">
        <v>12</v>
      </c>
      <c r="H23" s="2">
        <v>44221</v>
      </c>
      <c r="I23" s="1"/>
      <c r="J23" s="1"/>
      <c r="K23" s="1"/>
      <c r="L23" s="1" t="s">
        <v>28</v>
      </c>
    </row>
    <row r="24" spans="1:12" x14ac:dyDescent="0.25">
      <c r="A24">
        <v>62</v>
      </c>
      <c r="B24" s="3">
        <v>0.50624999999999998</v>
      </c>
      <c r="C24" s="1" t="s">
        <v>13</v>
      </c>
      <c r="D24" s="1" t="s">
        <v>14</v>
      </c>
      <c r="E24">
        <v>123456789</v>
      </c>
      <c r="F24" s="1" t="s">
        <v>4</v>
      </c>
      <c r="G24" s="1" t="s">
        <v>14</v>
      </c>
      <c r="H24" s="2">
        <v>44221</v>
      </c>
      <c r="I24" s="1"/>
      <c r="J24" s="1"/>
      <c r="K24" s="1"/>
      <c r="L24" s="1" t="s">
        <v>28</v>
      </c>
    </row>
    <row r="25" spans="1:12" x14ac:dyDescent="0.25">
      <c r="A25">
        <v>68</v>
      </c>
      <c r="B25" s="14">
        <v>0.50763888888888886</v>
      </c>
      <c r="C25" s="1" t="s">
        <v>9</v>
      </c>
      <c r="D25" s="1" t="s">
        <v>10</v>
      </c>
      <c r="E25">
        <v>1000</v>
      </c>
      <c r="F25" s="1" t="s">
        <v>4</v>
      </c>
      <c r="G25" s="1" t="s">
        <v>10</v>
      </c>
      <c r="H25" s="2">
        <v>44221</v>
      </c>
      <c r="I25" s="1"/>
      <c r="J25" s="1"/>
      <c r="K25" s="1"/>
      <c r="L25" s="1" t="s">
        <v>28</v>
      </c>
    </row>
    <row r="26" spans="1:12" x14ac:dyDescent="0.25">
      <c r="A26">
        <v>69</v>
      </c>
      <c r="B26" s="3">
        <v>0.50763888888888886</v>
      </c>
      <c r="C26" s="1" t="s">
        <v>11</v>
      </c>
      <c r="D26" s="1" t="s">
        <v>12</v>
      </c>
      <c r="E26">
        <v>2000</v>
      </c>
      <c r="F26" s="1" t="s">
        <v>4</v>
      </c>
      <c r="G26" s="1" t="s">
        <v>12</v>
      </c>
      <c r="H26" s="2">
        <v>44221</v>
      </c>
      <c r="I26" s="1"/>
      <c r="J26" s="1"/>
      <c r="K26" s="1"/>
      <c r="L26" s="1" t="s">
        <v>28</v>
      </c>
    </row>
    <row r="27" spans="1:12" x14ac:dyDescent="0.25">
      <c r="A27">
        <v>70</v>
      </c>
      <c r="B27" s="3">
        <v>0.50763888888888886</v>
      </c>
      <c r="C27" s="1" t="s">
        <v>17</v>
      </c>
      <c r="D27" s="1" t="s">
        <v>18</v>
      </c>
      <c r="E27">
        <v>13</v>
      </c>
      <c r="F27" s="1" t="s">
        <v>4</v>
      </c>
      <c r="G27" s="1" t="s">
        <v>18</v>
      </c>
      <c r="H27" s="2">
        <v>44221</v>
      </c>
      <c r="I27" s="1"/>
      <c r="J27" s="1"/>
      <c r="K27" s="1"/>
      <c r="L27" s="1" t="s">
        <v>28</v>
      </c>
    </row>
    <row r="28" spans="1:12" x14ac:dyDescent="0.25">
      <c r="A28">
        <v>71</v>
      </c>
      <c r="B28" s="3">
        <v>0.50763888888888886</v>
      </c>
      <c r="C28" s="1" t="s">
        <v>15</v>
      </c>
      <c r="D28" s="1" t="s">
        <v>16</v>
      </c>
      <c r="E28">
        <v>12</v>
      </c>
      <c r="F28" s="1" t="s">
        <v>4</v>
      </c>
      <c r="G28" s="1" t="s">
        <v>16</v>
      </c>
      <c r="H28" s="2">
        <v>44221</v>
      </c>
      <c r="I28" s="1"/>
      <c r="J28" s="1"/>
      <c r="K28" s="1"/>
      <c r="L28" s="1" t="s">
        <v>28</v>
      </c>
    </row>
    <row r="29" spans="1:12" x14ac:dyDescent="0.25">
      <c r="A29">
        <v>72</v>
      </c>
      <c r="B29" s="3">
        <v>0.50763888888888886</v>
      </c>
      <c r="C29" s="1" t="s">
        <v>13</v>
      </c>
      <c r="D29" s="1" t="s">
        <v>14</v>
      </c>
      <c r="E29">
        <v>123456789</v>
      </c>
      <c r="F29" s="1" t="s">
        <v>4</v>
      </c>
      <c r="G29" s="1" t="s">
        <v>14</v>
      </c>
      <c r="H29" s="2">
        <v>44221</v>
      </c>
      <c r="I29" s="1"/>
      <c r="J29" s="1"/>
      <c r="K29" s="1"/>
      <c r="L29" s="1" t="s">
        <v>28</v>
      </c>
    </row>
    <row r="30" spans="1:12" x14ac:dyDescent="0.25">
      <c r="A30">
        <v>78</v>
      </c>
      <c r="B30" s="14">
        <v>0.50972222222222219</v>
      </c>
      <c r="C30" s="1" t="s">
        <v>9</v>
      </c>
      <c r="D30" s="1" t="s">
        <v>10</v>
      </c>
      <c r="E30">
        <v>1000</v>
      </c>
      <c r="F30" s="1" t="s">
        <v>4</v>
      </c>
      <c r="G30" s="1" t="s">
        <v>10</v>
      </c>
      <c r="H30" s="2">
        <v>44221</v>
      </c>
      <c r="I30" s="1"/>
      <c r="J30" s="1"/>
      <c r="K30" s="1"/>
      <c r="L30" s="1" t="s">
        <v>28</v>
      </c>
    </row>
    <row r="31" spans="1:12" x14ac:dyDescent="0.25">
      <c r="A31">
        <v>79</v>
      </c>
      <c r="B31" s="3">
        <v>0.50972222222222219</v>
      </c>
      <c r="C31" s="1" t="s">
        <v>11</v>
      </c>
      <c r="D31" s="1" t="s">
        <v>12</v>
      </c>
      <c r="E31">
        <v>2000</v>
      </c>
      <c r="F31" s="1" t="s">
        <v>4</v>
      </c>
      <c r="G31" s="1" t="s">
        <v>12</v>
      </c>
      <c r="H31" s="2">
        <v>44221</v>
      </c>
      <c r="I31" s="1"/>
      <c r="J31" s="1"/>
      <c r="K31" s="1"/>
      <c r="L31" s="1" t="s">
        <v>28</v>
      </c>
    </row>
    <row r="32" spans="1:12" x14ac:dyDescent="0.25">
      <c r="A32">
        <v>80</v>
      </c>
      <c r="B32" s="3">
        <v>0.50972222222222219</v>
      </c>
      <c r="C32" s="1" t="s">
        <v>17</v>
      </c>
      <c r="D32" s="1" t="s">
        <v>18</v>
      </c>
      <c r="E32">
        <v>13</v>
      </c>
      <c r="F32" s="1" t="s">
        <v>4</v>
      </c>
      <c r="G32" s="1" t="s">
        <v>18</v>
      </c>
      <c r="H32" s="2">
        <v>44221</v>
      </c>
      <c r="I32" s="1"/>
      <c r="J32" s="1"/>
      <c r="K32" s="1"/>
      <c r="L32" s="1" t="s">
        <v>28</v>
      </c>
    </row>
    <row r="33" spans="1:12" x14ac:dyDescent="0.25">
      <c r="A33">
        <v>81</v>
      </c>
      <c r="B33" s="3">
        <v>0.50972222222222219</v>
      </c>
      <c r="C33" s="1" t="s">
        <v>13</v>
      </c>
      <c r="D33" s="1" t="s">
        <v>14</v>
      </c>
      <c r="E33">
        <v>123456789</v>
      </c>
      <c r="F33" s="1" t="s">
        <v>4</v>
      </c>
      <c r="G33" s="1" t="s">
        <v>14</v>
      </c>
      <c r="H33" s="2">
        <v>44221</v>
      </c>
      <c r="I33" s="1"/>
      <c r="J33" s="1"/>
      <c r="K33" s="1"/>
      <c r="L33" s="1" t="s">
        <v>28</v>
      </c>
    </row>
    <row r="34" spans="1:12" x14ac:dyDescent="0.25">
      <c r="A34">
        <v>86</v>
      </c>
      <c r="B34" s="3">
        <v>0.51875000000000004</v>
      </c>
      <c r="C34" s="1" t="s">
        <v>11</v>
      </c>
      <c r="D34" s="1" t="s">
        <v>12</v>
      </c>
      <c r="E34">
        <v>2000</v>
      </c>
      <c r="F34" s="1" t="s">
        <v>4</v>
      </c>
      <c r="G34" s="1" t="s">
        <v>12</v>
      </c>
      <c r="H34" s="2">
        <v>44221</v>
      </c>
      <c r="I34" s="1"/>
      <c r="J34" s="1"/>
      <c r="K34" s="1"/>
      <c r="L34" s="1" t="s">
        <v>28</v>
      </c>
    </row>
    <row r="35" spans="1:12" x14ac:dyDescent="0.25">
      <c r="A35">
        <v>87</v>
      </c>
      <c r="B35" s="3">
        <v>0.51875000000000004</v>
      </c>
      <c r="C35" s="1" t="s">
        <v>17</v>
      </c>
      <c r="D35" s="1" t="s">
        <v>18</v>
      </c>
      <c r="E35">
        <v>13</v>
      </c>
      <c r="F35" s="1" t="s">
        <v>4</v>
      </c>
      <c r="G35" s="1" t="s">
        <v>18</v>
      </c>
      <c r="H35" s="2">
        <v>44221</v>
      </c>
      <c r="I35" s="1"/>
      <c r="J35" s="1"/>
      <c r="K35" s="1"/>
      <c r="L35" s="1" t="s">
        <v>28</v>
      </c>
    </row>
    <row r="36" spans="1:12" x14ac:dyDescent="0.25">
      <c r="A36">
        <v>88</v>
      </c>
      <c r="B36" s="3">
        <v>0.51875000000000004</v>
      </c>
      <c r="C36" s="1" t="s">
        <v>15</v>
      </c>
      <c r="D36" s="1" t="s">
        <v>16</v>
      </c>
      <c r="E36">
        <v>12</v>
      </c>
      <c r="F36" s="1" t="s">
        <v>4</v>
      </c>
      <c r="G36" s="1" t="s">
        <v>16</v>
      </c>
      <c r="H36" s="2">
        <v>44221</v>
      </c>
      <c r="I36" s="1"/>
      <c r="J36" s="1"/>
      <c r="K36" s="1"/>
      <c r="L36" s="1" t="s">
        <v>28</v>
      </c>
    </row>
    <row r="37" spans="1:12" x14ac:dyDescent="0.25">
      <c r="A37">
        <v>89</v>
      </c>
      <c r="B37" s="3">
        <v>0.51875000000000004</v>
      </c>
      <c r="C37" s="1" t="s">
        <v>13</v>
      </c>
      <c r="D37" s="1" t="s">
        <v>14</v>
      </c>
      <c r="E37">
        <v>123456789</v>
      </c>
      <c r="F37" s="1" t="s">
        <v>4</v>
      </c>
      <c r="G37" s="1" t="s">
        <v>14</v>
      </c>
      <c r="H37" s="2">
        <v>44221</v>
      </c>
      <c r="I37" s="1"/>
      <c r="J37" s="1"/>
      <c r="K37" s="1"/>
      <c r="L37" s="1" t="s">
        <v>28</v>
      </c>
    </row>
  </sheetData>
  <hyperlinks>
    <hyperlink ref="N2" location="TUIS!A1" display="TUIS" xr:uid="{1FB1C7F6-A7A9-48F0-9EB2-ADEA066B2CBF}"/>
    <hyperlink ref="S2" r:id="rId1" display="https://exceljet.net/excel-functions/excel-sumifs-function" xr:uid="{1831A7FA-2E79-4A91-84DC-E74A24314FF7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32B1-E3DE-42BC-8CB4-AA92B340A7B8}">
  <sheetPr codeName="Sheet3"/>
  <dimension ref="A1:T61"/>
  <sheetViews>
    <sheetView workbookViewId="0">
      <selection activeCell="S25" sqref="S25"/>
    </sheetView>
  </sheetViews>
  <sheetFormatPr defaultRowHeight="15" x14ac:dyDescent="0.25"/>
  <cols>
    <col min="1" max="1" width="18.140625" bestFit="1" customWidth="1"/>
    <col min="2" max="2" width="10.7109375" bestFit="1" customWidth="1"/>
    <col min="3" max="3" width="9.42578125" bestFit="1" customWidth="1"/>
    <col min="4" max="5" width="10.7109375" bestFit="1" customWidth="1"/>
    <col min="6" max="6" width="8.140625" bestFit="1" customWidth="1"/>
    <col min="7" max="7" width="11.140625" bestFit="1" customWidth="1"/>
    <col min="8" max="8" width="10" bestFit="1" customWidth="1"/>
    <col min="9" max="9" width="16.28515625" bestFit="1" customWidth="1"/>
    <col min="10" max="10" width="14.42578125" bestFit="1" customWidth="1"/>
    <col min="11" max="11" width="14.85546875" bestFit="1" customWidth="1"/>
    <col min="12" max="12" width="15.85546875" bestFit="1" customWidth="1"/>
    <col min="13" max="13" width="12.140625" bestFit="1" customWidth="1"/>
    <col min="14" max="14" width="3.7109375" customWidth="1"/>
    <col min="16" max="16" width="4.7109375" customWidth="1"/>
    <col min="17" max="17" width="18.85546875" style="12" customWidth="1"/>
    <col min="18" max="18" width="9.140625" style="12"/>
    <col min="19" max="19" width="13.42578125" style="12" customWidth="1"/>
    <col min="20" max="20" width="16.85546875" style="12" customWidth="1"/>
  </cols>
  <sheetData>
    <row r="1" spans="1:20" ht="16.5" thickBot="1" x14ac:dyDescent="0.3">
      <c r="Q1" s="17" t="s">
        <v>94</v>
      </c>
      <c r="S1" s="25" t="s">
        <v>96</v>
      </c>
      <c r="T1" s="25" t="s">
        <v>99</v>
      </c>
    </row>
    <row r="2" spans="1:20" ht="24" thickBot="1" x14ac:dyDescent="0.4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1</v>
      </c>
      <c r="G2" t="s">
        <v>2</v>
      </c>
      <c r="H2" t="s">
        <v>3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O2" s="4" t="s">
        <v>82</v>
      </c>
      <c r="Q2" s="26">
        <f>SUBTOTAL(109,C:C)</f>
        <v>33.552777777777777</v>
      </c>
      <c r="S2" s="21">
        <v>12</v>
      </c>
      <c r="T2" s="24">
        <f>SUMIF(H:H,S2,A:A)</f>
        <v>0</v>
      </c>
    </row>
    <row r="3" spans="1:20" x14ac:dyDescent="0.25">
      <c r="A3" s="1" t="s">
        <v>34</v>
      </c>
      <c r="B3" s="2">
        <v>44209</v>
      </c>
      <c r="C3" s="3">
        <v>0.68472222222222223</v>
      </c>
      <c r="D3" s="2">
        <v>44209</v>
      </c>
      <c r="E3" s="3">
        <v>0.68541666666666667</v>
      </c>
      <c r="F3" s="1" t="s">
        <v>9</v>
      </c>
      <c r="G3" s="1" t="s">
        <v>10</v>
      </c>
      <c r="H3">
        <v>1000</v>
      </c>
      <c r="I3" s="1" t="s">
        <v>4</v>
      </c>
      <c r="J3" s="1" t="s">
        <v>10</v>
      </c>
      <c r="K3" s="1"/>
      <c r="L3" s="1"/>
      <c r="M3" s="1" t="s">
        <v>35</v>
      </c>
    </row>
    <row r="4" spans="1:20" x14ac:dyDescent="0.25">
      <c r="A4" s="1" t="s">
        <v>36</v>
      </c>
      <c r="B4" s="2">
        <v>44209</v>
      </c>
      <c r="C4" s="3">
        <v>0.68541666666666667</v>
      </c>
      <c r="D4" s="2">
        <v>44209</v>
      </c>
      <c r="E4" s="3">
        <v>0.85624999999999996</v>
      </c>
      <c r="F4" s="1" t="s">
        <v>9</v>
      </c>
      <c r="G4" s="1" t="s">
        <v>10</v>
      </c>
      <c r="H4">
        <v>1000</v>
      </c>
      <c r="I4" s="1" t="s">
        <v>4</v>
      </c>
      <c r="J4" s="1" t="s">
        <v>10</v>
      </c>
      <c r="K4" s="1"/>
      <c r="L4" s="1"/>
      <c r="M4" s="1" t="s">
        <v>20</v>
      </c>
    </row>
    <row r="5" spans="1:20" x14ac:dyDescent="0.25">
      <c r="A5" s="1" t="s">
        <v>37</v>
      </c>
      <c r="B5" s="2">
        <v>44209</v>
      </c>
      <c r="C5" s="3">
        <v>0.85624999999999996</v>
      </c>
      <c r="D5" s="2">
        <v>44209</v>
      </c>
      <c r="E5" s="3">
        <v>0.85763888888888884</v>
      </c>
      <c r="F5" s="1" t="s">
        <v>9</v>
      </c>
      <c r="G5" s="1" t="s">
        <v>10</v>
      </c>
      <c r="H5">
        <v>1000</v>
      </c>
      <c r="I5" s="1" t="s">
        <v>4</v>
      </c>
      <c r="J5" s="1" t="s">
        <v>10</v>
      </c>
      <c r="K5" s="1"/>
      <c r="L5" s="1"/>
      <c r="M5" s="1" t="s">
        <v>20</v>
      </c>
    </row>
    <row r="6" spans="1:20" x14ac:dyDescent="0.25">
      <c r="A6" s="1" t="s">
        <v>38</v>
      </c>
      <c r="B6" s="2">
        <v>44214</v>
      </c>
      <c r="C6" s="3">
        <v>0.41875000000000001</v>
      </c>
      <c r="D6" s="2">
        <v>44214</v>
      </c>
      <c r="E6" s="3">
        <v>0.41875000000000001</v>
      </c>
      <c r="F6" s="1" t="s">
        <v>9</v>
      </c>
      <c r="G6" s="1" t="s">
        <v>10</v>
      </c>
      <c r="H6">
        <v>1000</v>
      </c>
      <c r="I6" s="1" t="s">
        <v>4</v>
      </c>
      <c r="J6" s="1" t="s">
        <v>10</v>
      </c>
      <c r="K6" s="1"/>
      <c r="L6" s="1"/>
      <c r="M6" s="1" t="s">
        <v>35</v>
      </c>
    </row>
    <row r="7" spans="1:20" x14ac:dyDescent="0.25">
      <c r="A7" s="1" t="s">
        <v>34</v>
      </c>
      <c r="B7" s="2">
        <v>44214</v>
      </c>
      <c r="C7" s="3">
        <v>0.41944444444444445</v>
      </c>
      <c r="D7" s="2">
        <v>44214</v>
      </c>
      <c r="E7" s="3">
        <v>0.4201388888888889</v>
      </c>
      <c r="F7" s="1" t="s">
        <v>9</v>
      </c>
      <c r="G7" s="1" t="s">
        <v>10</v>
      </c>
      <c r="H7">
        <v>1000</v>
      </c>
      <c r="I7" s="1" t="s">
        <v>4</v>
      </c>
      <c r="J7" s="1" t="s">
        <v>10</v>
      </c>
      <c r="K7" s="1"/>
      <c r="L7" s="1"/>
      <c r="M7" s="1" t="s">
        <v>20</v>
      </c>
    </row>
    <row r="8" spans="1:20" x14ac:dyDescent="0.25">
      <c r="A8" s="1" t="s">
        <v>37</v>
      </c>
      <c r="B8" s="2">
        <v>44214</v>
      </c>
      <c r="C8" s="3">
        <v>0.4201388888888889</v>
      </c>
      <c r="D8" s="2">
        <v>44214</v>
      </c>
      <c r="E8" s="3">
        <v>0.42152777777777778</v>
      </c>
      <c r="F8" s="1" t="s">
        <v>9</v>
      </c>
      <c r="G8" s="1" t="s">
        <v>10</v>
      </c>
      <c r="H8">
        <v>1000</v>
      </c>
      <c r="I8" s="1" t="s">
        <v>4</v>
      </c>
      <c r="J8" s="1" t="s">
        <v>10</v>
      </c>
      <c r="K8" s="1"/>
      <c r="L8" s="1"/>
      <c r="M8" s="1" t="s">
        <v>20</v>
      </c>
    </row>
    <row r="9" spans="1:20" x14ac:dyDescent="0.25">
      <c r="A9" s="1" t="s">
        <v>37</v>
      </c>
      <c r="B9" s="2">
        <v>44214</v>
      </c>
      <c r="C9" s="3">
        <v>0.42777777777777776</v>
      </c>
      <c r="D9" s="2">
        <v>44214</v>
      </c>
      <c r="E9" s="3">
        <v>0.42916666666666664</v>
      </c>
      <c r="F9" s="1" t="s">
        <v>9</v>
      </c>
      <c r="G9" s="1" t="s">
        <v>10</v>
      </c>
      <c r="H9">
        <v>1000</v>
      </c>
      <c r="I9" s="1" t="s">
        <v>4</v>
      </c>
      <c r="J9" s="1" t="s">
        <v>10</v>
      </c>
      <c r="K9" s="1"/>
      <c r="L9" s="1"/>
      <c r="M9" s="1" t="s">
        <v>20</v>
      </c>
    </row>
    <row r="10" spans="1:20" x14ac:dyDescent="0.25">
      <c r="A10" s="1" t="s">
        <v>38</v>
      </c>
      <c r="B10" s="2">
        <v>44214</v>
      </c>
      <c r="C10" s="3">
        <v>0.42986111111111114</v>
      </c>
      <c r="D10" s="2">
        <v>44214</v>
      </c>
      <c r="E10" s="3">
        <v>0.42986111111111114</v>
      </c>
      <c r="F10" s="1" t="s">
        <v>9</v>
      </c>
      <c r="G10" s="1" t="s">
        <v>10</v>
      </c>
      <c r="H10">
        <v>1000</v>
      </c>
      <c r="I10" s="1" t="s">
        <v>4</v>
      </c>
      <c r="J10" s="1" t="s">
        <v>10</v>
      </c>
      <c r="K10" s="1"/>
      <c r="L10" s="1"/>
      <c r="M10" s="1" t="s">
        <v>20</v>
      </c>
    </row>
    <row r="11" spans="1:20" x14ac:dyDescent="0.25">
      <c r="A11" s="1" t="s">
        <v>39</v>
      </c>
      <c r="B11" s="2">
        <v>44214</v>
      </c>
      <c r="C11" s="3">
        <v>0.67152777777777772</v>
      </c>
      <c r="D11" s="2">
        <v>44214</v>
      </c>
      <c r="E11" s="3">
        <v>0.67361111111111116</v>
      </c>
      <c r="F11" s="1" t="s">
        <v>9</v>
      </c>
      <c r="G11" s="1" t="s">
        <v>10</v>
      </c>
      <c r="H11">
        <v>1000</v>
      </c>
      <c r="I11" s="1" t="s">
        <v>4</v>
      </c>
      <c r="J11" s="1" t="s">
        <v>10</v>
      </c>
      <c r="K11" s="1"/>
      <c r="L11" s="1"/>
      <c r="M11" s="1" t="s">
        <v>20</v>
      </c>
    </row>
    <row r="12" spans="1:20" x14ac:dyDescent="0.25">
      <c r="A12" s="1" t="s">
        <v>34</v>
      </c>
      <c r="B12" s="2">
        <v>44214</v>
      </c>
      <c r="C12" s="3">
        <v>0.67361111111111116</v>
      </c>
      <c r="D12" s="2">
        <v>44214</v>
      </c>
      <c r="E12" s="3">
        <v>0.6743055555555556</v>
      </c>
      <c r="F12" s="1" t="s">
        <v>9</v>
      </c>
      <c r="G12" s="1" t="s">
        <v>10</v>
      </c>
      <c r="H12">
        <v>1000</v>
      </c>
      <c r="I12" s="1" t="s">
        <v>4</v>
      </c>
      <c r="J12" s="1" t="s">
        <v>10</v>
      </c>
      <c r="K12" s="1"/>
      <c r="L12" s="1"/>
      <c r="M12" s="1" t="s">
        <v>35</v>
      </c>
    </row>
    <row r="13" spans="1:20" x14ac:dyDescent="0.25">
      <c r="A13" s="1" t="s">
        <v>40</v>
      </c>
      <c r="B13" s="2">
        <v>44214</v>
      </c>
      <c r="C13" s="3">
        <v>0.67569444444444449</v>
      </c>
      <c r="D13" s="2">
        <v>44214</v>
      </c>
      <c r="E13" s="3">
        <v>0.74236111111111114</v>
      </c>
      <c r="F13" s="1" t="s">
        <v>9</v>
      </c>
      <c r="G13" s="1" t="s">
        <v>10</v>
      </c>
      <c r="H13">
        <v>1000</v>
      </c>
      <c r="I13" s="1" t="s">
        <v>4</v>
      </c>
      <c r="J13" s="1" t="s">
        <v>10</v>
      </c>
      <c r="K13" s="1"/>
      <c r="L13" s="1"/>
      <c r="M13" s="1" t="s">
        <v>20</v>
      </c>
    </row>
    <row r="14" spans="1:20" x14ac:dyDescent="0.25">
      <c r="A14" s="1" t="s">
        <v>41</v>
      </c>
      <c r="B14" s="2">
        <v>44214</v>
      </c>
      <c r="C14" s="3">
        <v>0.70486111111111116</v>
      </c>
      <c r="D14" s="2">
        <v>44214</v>
      </c>
      <c r="E14" s="3">
        <v>0.74236111111111114</v>
      </c>
      <c r="F14" s="1" t="s">
        <v>13</v>
      </c>
      <c r="G14" s="1" t="s">
        <v>14</v>
      </c>
      <c r="H14">
        <v>123456789</v>
      </c>
      <c r="I14" s="1" t="s">
        <v>4</v>
      </c>
      <c r="J14" s="1" t="s">
        <v>14</v>
      </c>
      <c r="K14" s="1"/>
      <c r="L14" s="1"/>
      <c r="M14" s="1" t="s">
        <v>42</v>
      </c>
    </row>
    <row r="15" spans="1:20" x14ac:dyDescent="0.25">
      <c r="A15" s="1" t="s">
        <v>43</v>
      </c>
      <c r="B15" s="2">
        <v>44214</v>
      </c>
      <c r="C15" s="3">
        <v>0.74375000000000002</v>
      </c>
      <c r="D15" s="2">
        <v>44215</v>
      </c>
      <c r="E15" s="3">
        <v>0.60486111111111107</v>
      </c>
      <c r="F15" s="1" t="s">
        <v>13</v>
      </c>
      <c r="G15" s="1" t="s">
        <v>14</v>
      </c>
      <c r="H15">
        <v>123456789</v>
      </c>
      <c r="I15" s="1" t="s">
        <v>4</v>
      </c>
      <c r="J15" s="1" t="s">
        <v>14</v>
      </c>
      <c r="K15" s="1"/>
      <c r="L15" s="1"/>
      <c r="M15" s="1" t="s">
        <v>20</v>
      </c>
    </row>
    <row r="16" spans="1:20" x14ac:dyDescent="0.25">
      <c r="A16" s="1" t="s">
        <v>34</v>
      </c>
      <c r="B16" s="2">
        <v>44215</v>
      </c>
      <c r="C16" s="3">
        <v>0.60416666666666663</v>
      </c>
      <c r="D16" s="2">
        <v>44215</v>
      </c>
      <c r="E16" s="3">
        <v>0.60486111111111107</v>
      </c>
      <c r="F16" s="1" t="s">
        <v>13</v>
      </c>
      <c r="G16" s="1" t="s">
        <v>14</v>
      </c>
      <c r="H16">
        <v>123456789</v>
      </c>
      <c r="I16" s="1" t="s">
        <v>4</v>
      </c>
      <c r="J16" s="1" t="s">
        <v>14</v>
      </c>
      <c r="K16" s="1"/>
      <c r="L16" s="1"/>
      <c r="M16" s="1" t="s">
        <v>42</v>
      </c>
    </row>
    <row r="17" spans="1:13" x14ac:dyDescent="0.25">
      <c r="A17" s="1" t="s">
        <v>44</v>
      </c>
      <c r="B17" s="2">
        <v>44215</v>
      </c>
      <c r="C17" s="3">
        <v>0.60486111111111107</v>
      </c>
      <c r="D17" s="2">
        <v>44215</v>
      </c>
      <c r="E17" s="3">
        <v>0.60763888888888884</v>
      </c>
      <c r="F17" s="1" t="s">
        <v>13</v>
      </c>
      <c r="G17" s="1" t="s">
        <v>14</v>
      </c>
      <c r="H17">
        <v>123456789</v>
      </c>
      <c r="I17" s="1" t="s">
        <v>4</v>
      </c>
      <c r="J17" s="1" t="s">
        <v>14</v>
      </c>
      <c r="K17" s="1"/>
      <c r="L17" s="1"/>
      <c r="M17" s="1" t="s">
        <v>20</v>
      </c>
    </row>
    <row r="18" spans="1:13" x14ac:dyDescent="0.25">
      <c r="A18" s="1" t="s">
        <v>34</v>
      </c>
      <c r="B18" s="2">
        <v>44215</v>
      </c>
      <c r="C18" s="3">
        <v>0.60833333333333328</v>
      </c>
      <c r="D18" s="2">
        <v>44215</v>
      </c>
      <c r="E18" s="3">
        <v>0.60902777777777772</v>
      </c>
      <c r="F18" s="1" t="s">
        <v>13</v>
      </c>
      <c r="G18" s="1" t="s">
        <v>14</v>
      </c>
      <c r="H18">
        <v>123456789</v>
      </c>
      <c r="I18" s="1" t="s">
        <v>4</v>
      </c>
      <c r="J18" s="1" t="s">
        <v>14</v>
      </c>
      <c r="K18" s="1"/>
      <c r="L18" s="1"/>
      <c r="M18" s="1" t="s">
        <v>45</v>
      </c>
    </row>
    <row r="19" spans="1:13" x14ac:dyDescent="0.25">
      <c r="A19" s="1" t="s">
        <v>37</v>
      </c>
      <c r="B19" s="2">
        <v>44215</v>
      </c>
      <c r="C19" s="3">
        <v>0.60902777777777772</v>
      </c>
      <c r="D19" s="2">
        <v>44215</v>
      </c>
      <c r="E19" s="3">
        <v>0.61041666666666672</v>
      </c>
      <c r="F19" s="1" t="s">
        <v>13</v>
      </c>
      <c r="G19" s="1" t="s">
        <v>14</v>
      </c>
      <c r="H19">
        <v>123456789</v>
      </c>
      <c r="I19" s="1" t="s">
        <v>4</v>
      </c>
      <c r="J19" s="1" t="s">
        <v>14</v>
      </c>
      <c r="K19" s="1"/>
      <c r="L19" s="1"/>
      <c r="M19" s="1" t="s">
        <v>20</v>
      </c>
    </row>
    <row r="20" spans="1:13" x14ac:dyDescent="0.25">
      <c r="A20" s="1" t="s">
        <v>38</v>
      </c>
      <c r="B20" s="2">
        <v>44215</v>
      </c>
      <c r="C20" s="3">
        <v>0.71458333333333335</v>
      </c>
      <c r="D20" s="2">
        <v>44215</v>
      </c>
      <c r="E20" s="3">
        <v>0.71458333333333335</v>
      </c>
      <c r="F20" s="1" t="s">
        <v>13</v>
      </c>
      <c r="G20" s="1" t="s">
        <v>14</v>
      </c>
      <c r="H20">
        <v>123456789</v>
      </c>
      <c r="I20" s="1" t="s">
        <v>4</v>
      </c>
      <c r="J20" s="1" t="s">
        <v>14</v>
      </c>
      <c r="K20" s="1"/>
      <c r="L20" s="1"/>
      <c r="M20" s="1" t="s">
        <v>42</v>
      </c>
    </row>
    <row r="21" spans="1:13" x14ac:dyDescent="0.25">
      <c r="A21" s="1" t="s">
        <v>46</v>
      </c>
      <c r="B21" s="2">
        <v>44215</v>
      </c>
      <c r="C21" s="3">
        <v>0.71458333333333335</v>
      </c>
      <c r="D21" s="2">
        <v>44219</v>
      </c>
      <c r="E21" s="3">
        <v>0.6791666666666667</v>
      </c>
      <c r="F21" s="1" t="s">
        <v>13</v>
      </c>
      <c r="G21" s="1" t="s">
        <v>14</v>
      </c>
      <c r="H21">
        <v>123456789</v>
      </c>
      <c r="I21" s="1" t="s">
        <v>4</v>
      </c>
      <c r="J21" s="1" t="s">
        <v>14</v>
      </c>
      <c r="K21" s="1"/>
      <c r="L21" s="1"/>
      <c r="M21" s="1" t="s">
        <v>20</v>
      </c>
    </row>
    <row r="22" spans="1:13" x14ac:dyDescent="0.25">
      <c r="A22" s="1" t="s">
        <v>47</v>
      </c>
      <c r="B22" s="2">
        <v>44217</v>
      </c>
      <c r="C22" s="3">
        <v>0.62222222222222223</v>
      </c>
      <c r="D22" s="2">
        <v>44219</v>
      </c>
      <c r="E22" s="3">
        <v>0.6791666666666667</v>
      </c>
      <c r="F22" s="1" t="s">
        <v>9</v>
      </c>
      <c r="G22" s="1" t="s">
        <v>10</v>
      </c>
      <c r="H22">
        <v>1000</v>
      </c>
      <c r="I22" s="1" t="s">
        <v>4</v>
      </c>
      <c r="J22" s="1" t="s">
        <v>10</v>
      </c>
      <c r="K22" s="1"/>
      <c r="L22" s="1"/>
      <c r="M22" s="1" t="s">
        <v>20</v>
      </c>
    </row>
    <row r="23" spans="1:13" x14ac:dyDescent="0.25">
      <c r="A23" s="1" t="s">
        <v>48</v>
      </c>
      <c r="B23" s="2">
        <v>44218</v>
      </c>
      <c r="C23" s="3">
        <v>0.48194444444444445</v>
      </c>
      <c r="D23" s="2">
        <v>44219</v>
      </c>
      <c r="E23" s="3">
        <v>0.6791666666666667</v>
      </c>
      <c r="F23" s="1" t="s">
        <v>9</v>
      </c>
      <c r="G23" s="1" t="s">
        <v>10</v>
      </c>
      <c r="H23">
        <v>1000</v>
      </c>
      <c r="I23" s="1" t="s">
        <v>4</v>
      </c>
      <c r="J23" s="1" t="s">
        <v>10</v>
      </c>
      <c r="K23" s="1"/>
      <c r="L23" s="1"/>
      <c r="M23" s="1" t="s">
        <v>20</v>
      </c>
    </row>
    <row r="24" spans="1:13" x14ac:dyDescent="0.25">
      <c r="A24" s="1" t="s">
        <v>49</v>
      </c>
      <c r="B24" s="2">
        <v>44219</v>
      </c>
      <c r="C24" s="3">
        <v>0.5756944444444444</v>
      </c>
      <c r="D24" s="2">
        <v>44219</v>
      </c>
      <c r="E24" s="3">
        <v>0.6791666666666667</v>
      </c>
      <c r="F24" s="1"/>
      <c r="G24" s="1"/>
      <c r="I24" s="1" t="s">
        <v>4</v>
      </c>
      <c r="J24" s="1"/>
      <c r="K24" s="1"/>
      <c r="L24" s="1"/>
      <c r="M24" s="1" t="s">
        <v>35</v>
      </c>
    </row>
    <row r="25" spans="1:13" x14ac:dyDescent="0.25">
      <c r="A25" s="1" t="s">
        <v>49</v>
      </c>
      <c r="B25" s="2">
        <v>44219</v>
      </c>
      <c r="C25" s="3">
        <v>0.5756944444444444</v>
      </c>
      <c r="D25" s="2">
        <v>44219</v>
      </c>
      <c r="E25" s="3">
        <v>0.6791666666666667</v>
      </c>
      <c r="F25" s="1"/>
      <c r="G25" s="1"/>
      <c r="I25" s="1" t="s">
        <v>4</v>
      </c>
      <c r="J25" s="1"/>
      <c r="K25" s="1"/>
      <c r="L25" s="1"/>
      <c r="M25" s="1" t="s">
        <v>35</v>
      </c>
    </row>
    <row r="26" spans="1:13" x14ac:dyDescent="0.25">
      <c r="A26" s="1" t="s">
        <v>50</v>
      </c>
      <c r="B26" s="2">
        <v>44219</v>
      </c>
      <c r="C26" s="3">
        <v>0.57638888888888884</v>
      </c>
      <c r="D26" s="2">
        <v>44219</v>
      </c>
      <c r="E26" s="3">
        <v>0.6791666666666667</v>
      </c>
      <c r="F26" s="1"/>
      <c r="G26" s="1"/>
      <c r="I26" s="1" t="s">
        <v>4</v>
      </c>
      <c r="J26" s="1"/>
      <c r="K26" s="1"/>
      <c r="L26" s="1"/>
      <c r="M26" s="1" t="s">
        <v>35</v>
      </c>
    </row>
    <row r="27" spans="1:13" x14ac:dyDescent="0.25">
      <c r="A27" s="1" t="s">
        <v>50</v>
      </c>
      <c r="B27" s="2">
        <v>44219</v>
      </c>
      <c r="C27" s="3">
        <v>0.57638888888888884</v>
      </c>
      <c r="D27" s="2">
        <v>44219</v>
      </c>
      <c r="E27" s="3">
        <v>0.6791666666666667</v>
      </c>
      <c r="F27" s="1"/>
      <c r="G27" s="1"/>
      <c r="I27" s="1" t="s">
        <v>4</v>
      </c>
      <c r="J27" s="1"/>
      <c r="K27" s="1"/>
      <c r="L27" s="1"/>
      <c r="M27" s="1" t="s">
        <v>35</v>
      </c>
    </row>
    <row r="28" spans="1:13" x14ac:dyDescent="0.25">
      <c r="A28" s="1" t="s">
        <v>39</v>
      </c>
      <c r="B28" s="2">
        <v>44219</v>
      </c>
      <c r="C28" s="3">
        <v>0.67708333333333337</v>
      </c>
      <c r="D28" s="2">
        <v>44219</v>
      </c>
      <c r="E28" s="3">
        <v>0.6791666666666667</v>
      </c>
      <c r="F28" s="1"/>
      <c r="G28" s="1"/>
      <c r="I28" s="1" t="s">
        <v>4</v>
      </c>
      <c r="J28" s="1"/>
      <c r="K28" s="1"/>
      <c r="L28" s="1"/>
      <c r="M28" s="1" t="s">
        <v>20</v>
      </c>
    </row>
    <row r="29" spans="1:13" x14ac:dyDescent="0.25">
      <c r="A29" s="1" t="s">
        <v>37</v>
      </c>
      <c r="B29" s="2">
        <v>44219</v>
      </c>
      <c r="C29" s="3">
        <v>0.67777777777777781</v>
      </c>
      <c r="D29" s="2">
        <v>44219</v>
      </c>
      <c r="E29" s="3">
        <v>0.6791666666666667</v>
      </c>
      <c r="F29" s="1"/>
      <c r="G29" s="1"/>
      <c r="I29" s="1" t="s">
        <v>4</v>
      </c>
      <c r="J29" s="1"/>
      <c r="K29" s="1"/>
      <c r="L29" s="1"/>
      <c r="M29" s="1" t="s">
        <v>20</v>
      </c>
    </row>
    <row r="30" spans="1:13" x14ac:dyDescent="0.25">
      <c r="A30" s="1" t="s">
        <v>37</v>
      </c>
      <c r="B30" s="2">
        <v>44219</v>
      </c>
      <c r="C30" s="3">
        <v>0.67777777777777781</v>
      </c>
      <c r="D30" s="2">
        <v>44219</v>
      </c>
      <c r="E30" s="3">
        <v>0.6791666666666667</v>
      </c>
      <c r="F30" s="1"/>
      <c r="G30" s="1"/>
      <c r="I30" s="1" t="s">
        <v>4</v>
      </c>
      <c r="J30" s="1"/>
      <c r="K30" s="1"/>
      <c r="L30" s="1"/>
      <c r="M30" s="1" t="s">
        <v>20</v>
      </c>
    </row>
    <row r="31" spans="1:13" x14ac:dyDescent="0.25">
      <c r="A31" s="1" t="s">
        <v>34</v>
      </c>
      <c r="B31" s="2">
        <v>44219</v>
      </c>
      <c r="C31" s="3">
        <v>0.67847222222222225</v>
      </c>
      <c r="D31" s="2">
        <v>44219</v>
      </c>
      <c r="E31" s="3">
        <v>0.6791666666666667</v>
      </c>
      <c r="F31" s="1" t="s">
        <v>9</v>
      </c>
      <c r="G31" s="1" t="s">
        <v>10</v>
      </c>
      <c r="H31">
        <v>1000</v>
      </c>
      <c r="I31" s="1" t="s">
        <v>4</v>
      </c>
      <c r="J31" s="1" t="s">
        <v>10</v>
      </c>
      <c r="K31" s="1"/>
      <c r="L31" s="1"/>
      <c r="M31" s="1" t="s">
        <v>20</v>
      </c>
    </row>
    <row r="32" spans="1:13" x14ac:dyDescent="0.25">
      <c r="A32" s="1" t="s">
        <v>51</v>
      </c>
      <c r="B32" s="2">
        <v>44219</v>
      </c>
      <c r="C32" s="3">
        <v>0.67986111111111114</v>
      </c>
      <c r="D32" s="2">
        <v>44221</v>
      </c>
      <c r="E32" s="3">
        <v>0.41597222222222224</v>
      </c>
      <c r="F32" s="1"/>
      <c r="G32" s="1"/>
      <c r="I32" s="1" t="s">
        <v>4</v>
      </c>
      <c r="J32" s="1"/>
      <c r="K32" s="1"/>
      <c r="L32" s="1"/>
      <c r="M32" s="1" t="s">
        <v>20</v>
      </c>
    </row>
    <row r="33" spans="1:13" x14ac:dyDescent="0.25">
      <c r="A33" s="1" t="s">
        <v>51</v>
      </c>
      <c r="B33" s="2">
        <v>44219</v>
      </c>
      <c r="C33" s="3">
        <v>0.67986111111111114</v>
      </c>
      <c r="D33" s="2">
        <v>44221</v>
      </c>
      <c r="E33" s="3">
        <v>0.41597222222222224</v>
      </c>
      <c r="F33" s="1"/>
      <c r="G33" s="1"/>
      <c r="I33" s="1" t="s">
        <v>4</v>
      </c>
      <c r="J33" s="1"/>
      <c r="K33" s="1"/>
      <c r="L33" s="1"/>
      <c r="M33" s="1" t="s">
        <v>20</v>
      </c>
    </row>
    <row r="34" spans="1:13" x14ac:dyDescent="0.25">
      <c r="A34" s="1" t="s">
        <v>52</v>
      </c>
      <c r="B34" s="2">
        <v>44219</v>
      </c>
      <c r="C34" s="3">
        <v>0.68055555555555558</v>
      </c>
      <c r="D34" s="2">
        <v>44221</v>
      </c>
      <c r="E34" s="3">
        <v>0.41597222222222224</v>
      </c>
      <c r="F34" s="1"/>
      <c r="G34" s="1"/>
      <c r="I34" s="1" t="s">
        <v>4</v>
      </c>
      <c r="J34" s="1"/>
      <c r="K34" s="1"/>
      <c r="L34" s="1"/>
      <c r="M34" s="1" t="s">
        <v>35</v>
      </c>
    </row>
    <row r="35" spans="1:13" x14ac:dyDescent="0.25">
      <c r="A35" s="1" t="s">
        <v>52</v>
      </c>
      <c r="B35" s="2">
        <v>44219</v>
      </c>
      <c r="C35" s="3">
        <v>0.68055555555555558</v>
      </c>
      <c r="D35" s="2">
        <v>44221</v>
      </c>
      <c r="E35" s="3">
        <v>0.41597222222222224</v>
      </c>
      <c r="F35" s="1"/>
      <c r="G35" s="1"/>
      <c r="I35" s="1" t="s">
        <v>4</v>
      </c>
      <c r="J35" s="1"/>
      <c r="K35" s="1"/>
      <c r="L35" s="1"/>
      <c r="M35" s="1" t="s">
        <v>35</v>
      </c>
    </row>
    <row r="36" spans="1:13" x14ac:dyDescent="0.25">
      <c r="A36" s="1" t="s">
        <v>53</v>
      </c>
      <c r="B36" s="2">
        <v>44221</v>
      </c>
      <c r="C36" s="3">
        <v>0.39374999999999999</v>
      </c>
      <c r="D36" s="2">
        <v>44221</v>
      </c>
      <c r="E36" s="3">
        <v>0.41597222222222224</v>
      </c>
      <c r="F36" s="1"/>
      <c r="G36" s="1"/>
      <c r="I36" s="1" t="s">
        <v>4</v>
      </c>
      <c r="J36" s="1"/>
      <c r="K36" s="1"/>
      <c r="L36" s="1"/>
      <c r="M36" s="1" t="s">
        <v>45</v>
      </c>
    </row>
    <row r="37" spans="1:13" x14ac:dyDescent="0.25">
      <c r="A37" s="1" t="s">
        <v>53</v>
      </c>
      <c r="B37" s="2">
        <v>44221</v>
      </c>
      <c r="C37" s="3">
        <v>0.39374999999999999</v>
      </c>
      <c r="D37" s="2">
        <v>44221</v>
      </c>
      <c r="E37" s="3">
        <v>0.41597222222222224</v>
      </c>
      <c r="F37" s="1" t="s">
        <v>9</v>
      </c>
      <c r="G37" s="1" t="s">
        <v>10</v>
      </c>
      <c r="H37">
        <v>1000</v>
      </c>
      <c r="I37" s="1" t="s">
        <v>4</v>
      </c>
      <c r="J37" s="1" t="s">
        <v>10</v>
      </c>
      <c r="K37" s="1"/>
      <c r="L37" s="1"/>
      <c r="M37" s="1" t="s">
        <v>45</v>
      </c>
    </row>
    <row r="38" spans="1:13" x14ac:dyDescent="0.25">
      <c r="A38" s="1" t="s">
        <v>54</v>
      </c>
      <c r="B38" s="2">
        <v>44221</v>
      </c>
      <c r="C38" s="3">
        <v>0.39791666666666664</v>
      </c>
      <c r="D38" s="2">
        <v>44221</v>
      </c>
      <c r="E38" s="3">
        <v>0.41597222222222224</v>
      </c>
      <c r="F38" s="1"/>
      <c r="G38" s="1"/>
      <c r="I38" s="1" t="s">
        <v>4</v>
      </c>
      <c r="J38" s="1"/>
      <c r="K38" s="1"/>
      <c r="L38" s="1"/>
      <c r="M38" s="1" t="s">
        <v>45</v>
      </c>
    </row>
    <row r="39" spans="1:13" x14ac:dyDescent="0.25">
      <c r="A39" s="1" t="s">
        <v>55</v>
      </c>
      <c r="B39" s="2">
        <v>44221</v>
      </c>
      <c r="C39" s="3">
        <v>0.39930555555555558</v>
      </c>
      <c r="D39" s="2">
        <v>44221</v>
      </c>
      <c r="E39" s="3">
        <v>0.41597222222222224</v>
      </c>
      <c r="F39" s="1" t="s">
        <v>11</v>
      </c>
      <c r="G39" s="1" t="s">
        <v>12</v>
      </c>
      <c r="H39">
        <v>2000</v>
      </c>
      <c r="I39" s="1" t="s">
        <v>4</v>
      </c>
      <c r="J39" s="1" t="s">
        <v>12</v>
      </c>
      <c r="K39" s="1"/>
      <c r="L39" s="1"/>
      <c r="M39" s="1" t="s">
        <v>20</v>
      </c>
    </row>
    <row r="40" spans="1:13" x14ac:dyDescent="0.25">
      <c r="A40" s="1" t="s">
        <v>34</v>
      </c>
      <c r="B40" s="2">
        <v>44221</v>
      </c>
      <c r="C40" s="3">
        <v>0.41597222222222224</v>
      </c>
      <c r="D40" s="2">
        <v>44221</v>
      </c>
      <c r="E40" s="3">
        <v>0.41666666666666669</v>
      </c>
      <c r="F40" s="1" t="s">
        <v>9</v>
      </c>
      <c r="G40" s="1" t="s">
        <v>10</v>
      </c>
      <c r="H40">
        <v>1000</v>
      </c>
      <c r="I40" s="1" t="s">
        <v>4</v>
      </c>
      <c r="J40" s="1" t="s">
        <v>10</v>
      </c>
      <c r="K40" s="1"/>
      <c r="L40" s="1"/>
      <c r="M40" s="1" t="s">
        <v>20</v>
      </c>
    </row>
    <row r="41" spans="1:13" x14ac:dyDescent="0.25">
      <c r="A41" s="1" t="s">
        <v>34</v>
      </c>
      <c r="B41" s="2">
        <v>44221</v>
      </c>
      <c r="C41" s="3">
        <v>0.41597222222222224</v>
      </c>
      <c r="D41" s="2">
        <v>44221</v>
      </c>
      <c r="E41" s="3">
        <v>0.41666666666666669</v>
      </c>
      <c r="F41" s="1" t="s">
        <v>11</v>
      </c>
      <c r="G41" s="1" t="s">
        <v>12</v>
      </c>
      <c r="H41">
        <v>2000</v>
      </c>
      <c r="I41" s="1" t="s">
        <v>4</v>
      </c>
      <c r="J41" s="1" t="s">
        <v>12</v>
      </c>
      <c r="K41" s="1"/>
      <c r="L41" s="1"/>
      <c r="M41" s="1" t="s">
        <v>20</v>
      </c>
    </row>
    <row r="42" spans="1:13" x14ac:dyDescent="0.25">
      <c r="A42" s="1" t="s">
        <v>56</v>
      </c>
      <c r="B42" s="2">
        <v>44221</v>
      </c>
      <c r="C42" s="3">
        <v>0.37291666666666667</v>
      </c>
      <c r="D42" s="2">
        <v>44221</v>
      </c>
      <c r="E42" s="3">
        <v>0.50624999999999998</v>
      </c>
      <c r="F42" s="1" t="s">
        <v>13</v>
      </c>
      <c r="G42" s="1" t="s">
        <v>14</v>
      </c>
      <c r="H42">
        <v>123456789</v>
      </c>
      <c r="I42" s="1"/>
      <c r="J42" s="1" t="s">
        <v>14</v>
      </c>
      <c r="K42" s="1"/>
      <c r="L42" s="1"/>
      <c r="M42" s="1" t="s">
        <v>45</v>
      </c>
    </row>
    <row r="43" spans="1:13" x14ac:dyDescent="0.25">
      <c r="A43" s="1" t="s">
        <v>34</v>
      </c>
      <c r="B43" s="2">
        <v>44221</v>
      </c>
      <c r="C43" s="3">
        <v>0.50694444444444442</v>
      </c>
      <c r="D43" s="2">
        <v>44221</v>
      </c>
      <c r="E43" s="3">
        <v>0.50763888888888886</v>
      </c>
      <c r="F43" s="1" t="s">
        <v>9</v>
      </c>
      <c r="G43" s="1" t="s">
        <v>10</v>
      </c>
      <c r="H43">
        <v>1000</v>
      </c>
      <c r="I43" s="1" t="s">
        <v>4</v>
      </c>
      <c r="J43" s="1" t="s">
        <v>10</v>
      </c>
      <c r="K43" s="1"/>
      <c r="L43" s="1"/>
      <c r="M43" s="1" t="s">
        <v>20</v>
      </c>
    </row>
    <row r="44" spans="1:13" x14ac:dyDescent="0.25">
      <c r="A44" s="1" t="s">
        <v>34</v>
      </c>
      <c r="B44" s="2">
        <v>44221</v>
      </c>
      <c r="C44" s="3">
        <v>0.50694444444444442</v>
      </c>
      <c r="D44" s="2">
        <v>44221</v>
      </c>
      <c r="E44" s="3">
        <v>0.50763888888888886</v>
      </c>
      <c r="F44" s="1" t="s">
        <v>11</v>
      </c>
      <c r="G44" s="1" t="s">
        <v>12</v>
      </c>
      <c r="H44">
        <v>2000</v>
      </c>
      <c r="I44" s="1" t="s">
        <v>4</v>
      </c>
      <c r="J44" s="1" t="s">
        <v>12</v>
      </c>
      <c r="K44" s="1"/>
      <c r="L44" s="1"/>
      <c r="M44" s="1" t="s">
        <v>20</v>
      </c>
    </row>
    <row r="45" spans="1:13" x14ac:dyDescent="0.25">
      <c r="A45" s="1" t="s">
        <v>34</v>
      </c>
      <c r="B45" s="2">
        <v>44221</v>
      </c>
      <c r="C45" s="3">
        <v>0.50694444444444442</v>
      </c>
      <c r="D45" s="2">
        <v>44221</v>
      </c>
      <c r="E45" s="3">
        <v>0.50763888888888886</v>
      </c>
      <c r="F45" s="1" t="s">
        <v>17</v>
      </c>
      <c r="G45" s="1" t="s">
        <v>18</v>
      </c>
      <c r="H45">
        <v>13</v>
      </c>
      <c r="I45" s="1" t="s">
        <v>4</v>
      </c>
      <c r="J45" s="1" t="s">
        <v>18</v>
      </c>
      <c r="K45" s="1"/>
      <c r="L45" s="1"/>
      <c r="M45" s="1" t="s">
        <v>20</v>
      </c>
    </row>
    <row r="46" spans="1:13" x14ac:dyDescent="0.25">
      <c r="A46" s="1" t="s">
        <v>34</v>
      </c>
      <c r="B46" s="2">
        <v>44221</v>
      </c>
      <c r="C46" s="3">
        <v>0.50694444444444442</v>
      </c>
      <c r="D46" s="2">
        <v>44221</v>
      </c>
      <c r="E46" s="3">
        <v>0.50763888888888886</v>
      </c>
      <c r="F46" s="1" t="s">
        <v>15</v>
      </c>
      <c r="G46" s="1" t="s">
        <v>16</v>
      </c>
      <c r="H46">
        <v>12</v>
      </c>
      <c r="I46" s="1" t="s">
        <v>4</v>
      </c>
      <c r="J46" s="1" t="s">
        <v>16</v>
      </c>
      <c r="K46" s="1"/>
      <c r="L46" s="1"/>
      <c r="M46" s="1" t="s">
        <v>20</v>
      </c>
    </row>
    <row r="47" spans="1:13" x14ac:dyDescent="0.25">
      <c r="A47" s="1" t="s">
        <v>34</v>
      </c>
      <c r="B47" s="2">
        <v>44221</v>
      </c>
      <c r="C47" s="3">
        <v>0.50694444444444442</v>
      </c>
      <c r="D47" s="2">
        <v>44221</v>
      </c>
      <c r="E47" s="3">
        <v>0.50763888888888886</v>
      </c>
      <c r="F47" s="1" t="s">
        <v>13</v>
      </c>
      <c r="G47" s="1" t="s">
        <v>14</v>
      </c>
      <c r="H47">
        <v>123456789</v>
      </c>
      <c r="I47" s="1" t="s">
        <v>4</v>
      </c>
      <c r="J47" s="1" t="s">
        <v>14</v>
      </c>
      <c r="K47" s="1"/>
      <c r="L47" s="1"/>
      <c r="M47" s="1" t="s">
        <v>20</v>
      </c>
    </row>
    <row r="48" spans="1:13" x14ac:dyDescent="0.25">
      <c r="A48" s="1" t="s">
        <v>34</v>
      </c>
      <c r="B48" s="2">
        <v>44221</v>
      </c>
      <c r="C48" s="3">
        <v>0.50902777777777775</v>
      </c>
      <c r="D48" s="2">
        <v>44221</v>
      </c>
      <c r="E48" s="3">
        <v>0.50972222222222219</v>
      </c>
      <c r="F48" s="1" t="s">
        <v>9</v>
      </c>
      <c r="G48" s="1" t="s">
        <v>10</v>
      </c>
      <c r="H48">
        <v>1000</v>
      </c>
      <c r="I48" s="1" t="s">
        <v>4</v>
      </c>
      <c r="J48" s="1" t="s">
        <v>10</v>
      </c>
      <c r="K48" s="1"/>
      <c r="L48" s="1"/>
      <c r="M48" s="1" t="s">
        <v>20</v>
      </c>
    </row>
    <row r="49" spans="1:13" x14ac:dyDescent="0.25">
      <c r="A49" s="1" t="s">
        <v>34</v>
      </c>
      <c r="B49" s="2">
        <v>44221</v>
      </c>
      <c r="C49" s="3">
        <v>0.50902777777777775</v>
      </c>
      <c r="D49" s="2">
        <v>44221</v>
      </c>
      <c r="E49" s="3">
        <v>0.50972222222222219</v>
      </c>
      <c r="F49" s="1" t="s">
        <v>11</v>
      </c>
      <c r="G49" s="1" t="s">
        <v>12</v>
      </c>
      <c r="H49">
        <v>2000</v>
      </c>
      <c r="I49" s="1" t="s">
        <v>4</v>
      </c>
      <c r="J49" s="1" t="s">
        <v>12</v>
      </c>
      <c r="K49" s="1"/>
      <c r="L49" s="1"/>
      <c r="M49" s="1" t="s">
        <v>20</v>
      </c>
    </row>
    <row r="50" spans="1:13" x14ac:dyDescent="0.25">
      <c r="A50" s="1" t="s">
        <v>34</v>
      </c>
      <c r="B50" s="2">
        <v>44221</v>
      </c>
      <c r="C50" s="3">
        <v>0.50902777777777775</v>
      </c>
      <c r="D50" s="2">
        <v>44221</v>
      </c>
      <c r="E50" s="3">
        <v>0.50972222222222219</v>
      </c>
      <c r="F50" s="1" t="s">
        <v>17</v>
      </c>
      <c r="G50" s="1" t="s">
        <v>18</v>
      </c>
      <c r="H50">
        <v>13</v>
      </c>
      <c r="I50" s="1" t="s">
        <v>4</v>
      </c>
      <c r="J50" s="1" t="s">
        <v>18</v>
      </c>
      <c r="K50" s="1"/>
      <c r="L50" s="1"/>
      <c r="M50" s="1" t="s">
        <v>20</v>
      </c>
    </row>
    <row r="51" spans="1:13" x14ac:dyDescent="0.25">
      <c r="A51" s="1" t="s">
        <v>34</v>
      </c>
      <c r="B51" s="2">
        <v>44221</v>
      </c>
      <c r="C51" s="3">
        <v>0.50902777777777775</v>
      </c>
      <c r="D51" s="2">
        <v>44221</v>
      </c>
      <c r="E51" s="3">
        <v>0.50972222222222219</v>
      </c>
      <c r="F51" s="1" t="s">
        <v>15</v>
      </c>
      <c r="G51" s="1" t="s">
        <v>16</v>
      </c>
      <c r="H51">
        <v>12</v>
      </c>
      <c r="I51" s="1" t="s">
        <v>4</v>
      </c>
      <c r="J51" s="1" t="s">
        <v>16</v>
      </c>
      <c r="K51" s="1"/>
      <c r="L51" s="1"/>
      <c r="M51" s="1" t="s">
        <v>20</v>
      </c>
    </row>
    <row r="52" spans="1:13" x14ac:dyDescent="0.25">
      <c r="A52" s="1" t="s">
        <v>34</v>
      </c>
      <c r="B52" s="2">
        <v>44221</v>
      </c>
      <c r="C52" s="3">
        <v>0.50902777777777775</v>
      </c>
      <c r="D52" s="2">
        <v>44221</v>
      </c>
      <c r="E52" s="3">
        <v>0.50972222222222219</v>
      </c>
      <c r="F52" s="1" t="s">
        <v>13</v>
      </c>
      <c r="G52" s="1" t="s">
        <v>14</v>
      </c>
      <c r="H52">
        <v>123456789</v>
      </c>
      <c r="I52" s="1" t="s">
        <v>4</v>
      </c>
      <c r="J52" s="1" t="s">
        <v>14</v>
      </c>
      <c r="K52" s="1"/>
      <c r="L52" s="1"/>
      <c r="M52" s="1" t="s">
        <v>20</v>
      </c>
    </row>
    <row r="53" spans="1:13" x14ac:dyDescent="0.25">
      <c r="A53" s="1" t="s">
        <v>34</v>
      </c>
      <c r="B53" s="2">
        <v>44221</v>
      </c>
      <c r="C53" s="3">
        <v>0.5180555555555556</v>
      </c>
      <c r="D53" s="2">
        <v>44221</v>
      </c>
      <c r="E53" s="3">
        <v>0.51875000000000004</v>
      </c>
      <c r="F53" s="1" t="s">
        <v>11</v>
      </c>
      <c r="G53" s="1" t="s">
        <v>12</v>
      </c>
      <c r="H53">
        <v>2000</v>
      </c>
      <c r="I53" s="1" t="s">
        <v>4</v>
      </c>
      <c r="J53" s="1" t="s">
        <v>12</v>
      </c>
      <c r="K53" s="1"/>
      <c r="L53" s="1"/>
      <c r="M53" s="1" t="s">
        <v>20</v>
      </c>
    </row>
    <row r="54" spans="1:13" x14ac:dyDescent="0.25">
      <c r="A54" s="1" t="s">
        <v>34</v>
      </c>
      <c r="B54" s="2">
        <v>44221</v>
      </c>
      <c r="C54" s="3">
        <v>0.5180555555555556</v>
      </c>
      <c r="D54" s="2">
        <v>44221</v>
      </c>
      <c r="E54" s="3">
        <v>0.51875000000000004</v>
      </c>
      <c r="F54" s="1" t="s">
        <v>17</v>
      </c>
      <c r="G54" s="1" t="s">
        <v>18</v>
      </c>
      <c r="H54">
        <v>13</v>
      </c>
      <c r="I54" s="1" t="s">
        <v>4</v>
      </c>
      <c r="J54" s="1" t="s">
        <v>18</v>
      </c>
      <c r="K54" s="1"/>
      <c r="L54" s="1"/>
      <c r="M54" s="1" t="s">
        <v>20</v>
      </c>
    </row>
    <row r="55" spans="1:13" x14ac:dyDescent="0.25">
      <c r="A55" s="1" t="s">
        <v>34</v>
      </c>
      <c r="B55" s="2">
        <v>44221</v>
      </c>
      <c r="C55" s="3">
        <v>0.5180555555555556</v>
      </c>
      <c r="D55" s="2">
        <v>44221</v>
      </c>
      <c r="E55" s="3">
        <v>0.51875000000000004</v>
      </c>
      <c r="F55" s="1" t="s">
        <v>15</v>
      </c>
      <c r="G55" s="1" t="s">
        <v>16</v>
      </c>
      <c r="H55">
        <v>12</v>
      </c>
      <c r="I55" s="1" t="s">
        <v>4</v>
      </c>
      <c r="J55" s="1" t="s">
        <v>16</v>
      </c>
      <c r="K55" s="1"/>
      <c r="L55" s="1"/>
      <c r="M55" s="1" t="s">
        <v>20</v>
      </c>
    </row>
    <row r="56" spans="1:13" x14ac:dyDescent="0.25">
      <c r="A56" s="1" t="s">
        <v>34</v>
      </c>
      <c r="B56" s="2">
        <v>44221</v>
      </c>
      <c r="C56" s="3">
        <v>0.5180555555555556</v>
      </c>
      <c r="D56" s="2">
        <v>44221</v>
      </c>
      <c r="E56" s="3">
        <v>0.51875000000000004</v>
      </c>
      <c r="F56" s="1" t="s">
        <v>13</v>
      </c>
      <c r="G56" s="1" t="s">
        <v>14</v>
      </c>
      <c r="H56">
        <v>123456789</v>
      </c>
      <c r="I56" s="1" t="s">
        <v>4</v>
      </c>
      <c r="J56" s="1" t="s">
        <v>14</v>
      </c>
      <c r="K56" s="1"/>
      <c r="L56" s="1"/>
      <c r="M56" s="1" t="s">
        <v>20</v>
      </c>
    </row>
    <row r="57" spans="1:13" x14ac:dyDescent="0.25">
      <c r="A57" s="1"/>
      <c r="B57" s="2">
        <v>44221</v>
      </c>
      <c r="C57" s="3">
        <v>0.52013888888888893</v>
      </c>
      <c r="D57" s="2"/>
      <c r="E57" s="3"/>
      <c r="F57" s="1" t="s">
        <v>17</v>
      </c>
      <c r="G57" s="1" t="s">
        <v>18</v>
      </c>
      <c r="H57">
        <v>13</v>
      </c>
      <c r="I57" s="1" t="s">
        <v>4</v>
      </c>
      <c r="J57" s="1" t="s">
        <v>18</v>
      </c>
      <c r="K57" s="1"/>
      <c r="L57" s="1"/>
      <c r="M57" s="1" t="s">
        <v>45</v>
      </c>
    </row>
    <row r="58" spans="1:13" x14ac:dyDescent="0.25">
      <c r="A58" s="1"/>
      <c r="B58" s="2">
        <v>44221</v>
      </c>
      <c r="C58" s="3">
        <v>0.52013888888888893</v>
      </c>
      <c r="D58" s="2"/>
      <c r="E58" s="3"/>
      <c r="F58" s="1" t="s">
        <v>13</v>
      </c>
      <c r="G58" s="1" t="s">
        <v>14</v>
      </c>
      <c r="H58">
        <v>123456789</v>
      </c>
      <c r="I58" s="1" t="s">
        <v>4</v>
      </c>
      <c r="J58" s="1" t="s">
        <v>14</v>
      </c>
      <c r="K58" s="1"/>
      <c r="L58" s="1"/>
      <c r="M58" s="1" t="s">
        <v>45</v>
      </c>
    </row>
    <row r="59" spans="1:13" x14ac:dyDescent="0.25">
      <c r="A59" s="1"/>
      <c r="B59" s="2">
        <v>44221</v>
      </c>
      <c r="C59" s="3">
        <v>0.52013888888888893</v>
      </c>
      <c r="D59" s="2"/>
      <c r="E59" s="3"/>
      <c r="F59" s="1" t="s">
        <v>15</v>
      </c>
      <c r="G59" s="1" t="s">
        <v>16</v>
      </c>
      <c r="H59">
        <v>12</v>
      </c>
      <c r="I59" s="1" t="s">
        <v>4</v>
      </c>
      <c r="J59" s="1" t="s">
        <v>16</v>
      </c>
      <c r="K59" s="1"/>
      <c r="L59" s="1"/>
      <c r="M59" s="1" t="s">
        <v>45</v>
      </c>
    </row>
    <row r="60" spans="1:13" x14ac:dyDescent="0.25">
      <c r="A60" s="1"/>
      <c r="B60" s="2">
        <v>44221</v>
      </c>
      <c r="C60" s="3">
        <v>0.79513888888888884</v>
      </c>
      <c r="D60" s="2"/>
      <c r="E60" s="3"/>
      <c r="F60" s="1" t="s">
        <v>9</v>
      </c>
      <c r="G60" s="1" t="s">
        <v>10</v>
      </c>
      <c r="H60">
        <v>1000</v>
      </c>
      <c r="I60" s="1" t="s">
        <v>4</v>
      </c>
      <c r="J60" s="1" t="s">
        <v>10</v>
      </c>
      <c r="K60" s="1"/>
      <c r="L60" s="1"/>
      <c r="M60" s="1" t="s">
        <v>20</v>
      </c>
    </row>
    <row r="61" spans="1:13" x14ac:dyDescent="0.25">
      <c r="A61" s="1"/>
      <c r="B61" s="2">
        <v>44231</v>
      </c>
      <c r="C61" s="3">
        <v>0.74791666666666667</v>
      </c>
      <c r="D61" s="2"/>
      <c r="E61" s="3"/>
      <c r="F61" s="1" t="s">
        <v>11</v>
      </c>
      <c r="G61" s="1" t="s">
        <v>12</v>
      </c>
      <c r="H61">
        <v>2000</v>
      </c>
      <c r="I61" s="1" t="s">
        <v>4</v>
      </c>
      <c r="J61" s="1" t="s">
        <v>12</v>
      </c>
      <c r="K61" s="1" t="s">
        <v>57</v>
      </c>
      <c r="L61" s="1" t="s">
        <v>58</v>
      </c>
      <c r="M61" s="1" t="s">
        <v>20</v>
      </c>
    </row>
  </sheetData>
  <hyperlinks>
    <hyperlink ref="O2" location="TUIS!A1" display="TUIS" xr:uid="{0F6632E0-5E59-4E29-AA40-2721C7634266}"/>
    <hyperlink ref="T2" r:id="rId1" display="https://exceljet.net/excel-functions/excel-sumifs-function" xr:uid="{93079275-FE1C-481A-84DB-876A54349AB7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90EBF-A928-49E6-AAB7-1D4C479343A2}">
  <sheetPr codeName="Sheet4"/>
  <dimension ref="A1:P16"/>
  <sheetViews>
    <sheetView workbookViewId="0">
      <selection activeCell="J12" sqref="J12"/>
    </sheetView>
  </sheetViews>
  <sheetFormatPr defaultRowHeight="18.75" x14ac:dyDescent="0.3"/>
  <cols>
    <col min="1" max="1" width="10.7109375" bestFit="1" customWidth="1"/>
    <col min="2" max="2" width="8.42578125" bestFit="1" customWidth="1"/>
    <col min="3" max="3" width="11.140625" bestFit="1" customWidth="1"/>
    <col min="4" max="4" width="10" bestFit="1" customWidth="1"/>
    <col min="5" max="5" width="8.7109375" bestFit="1" customWidth="1"/>
    <col min="6" max="6" width="7.28515625" bestFit="1" customWidth="1"/>
    <col min="7" max="7" width="10" bestFit="1" customWidth="1"/>
    <col min="8" max="8" width="8.85546875" bestFit="1" customWidth="1"/>
    <col min="9" max="9" width="6.7109375" style="16" customWidth="1"/>
    <col min="10" max="10" width="16.140625" style="19" bestFit="1" customWidth="1"/>
    <col min="11" max="11" width="9.140625" style="19"/>
    <col min="12" max="12" width="16" style="19" customWidth="1"/>
    <col min="13" max="13" width="20.42578125" style="19" customWidth="1"/>
    <col min="14" max="14" width="9.140625" style="19"/>
    <col min="15" max="15" width="18.5703125" style="19" customWidth="1"/>
    <col min="16" max="16" width="19.42578125" style="19" customWidth="1"/>
  </cols>
  <sheetData>
    <row r="1" spans="1:16" ht="19.5" thickBot="1" x14ac:dyDescent="0.35">
      <c r="J1" s="17" t="s">
        <v>93</v>
      </c>
      <c r="L1" s="20" t="s">
        <v>96</v>
      </c>
      <c r="M1" s="20" t="s">
        <v>97</v>
      </c>
      <c r="O1" s="20" t="s">
        <v>98</v>
      </c>
      <c r="P1" s="20" t="s">
        <v>97</v>
      </c>
    </row>
    <row r="2" spans="1:16" ht="24" thickBot="1" x14ac:dyDescent="0.4">
      <c r="A2" t="s">
        <v>98</v>
      </c>
      <c r="B2" t="s">
        <v>100</v>
      </c>
      <c r="C2" t="s">
        <v>102</v>
      </c>
      <c r="D2" t="s">
        <v>3</v>
      </c>
      <c r="E2" t="s">
        <v>97</v>
      </c>
      <c r="F2" t="s">
        <v>103</v>
      </c>
      <c r="H2" s="11" t="s">
        <v>82</v>
      </c>
      <c r="J2" s="18">
        <f>SUBTOTAL(109,E:E)</f>
        <v>176</v>
      </c>
      <c r="L2" s="21">
        <v>13</v>
      </c>
      <c r="M2" s="22">
        <f>SUMIF(D:D,L2,E:E)</f>
        <v>6</v>
      </c>
      <c r="O2" s="23">
        <v>44214</v>
      </c>
      <c r="P2" s="22">
        <f>SUMIF(A:A,O2,E:E)</f>
        <v>41</v>
      </c>
    </row>
    <row r="3" spans="1:16" ht="15.75" x14ac:dyDescent="0.25">
      <c r="A3" s="2">
        <v>44209</v>
      </c>
      <c r="B3" s="1" t="s">
        <v>9</v>
      </c>
      <c r="C3" s="1" t="s">
        <v>10</v>
      </c>
      <c r="D3">
        <v>1000</v>
      </c>
      <c r="E3">
        <v>0</v>
      </c>
      <c r="F3" s="1" t="s">
        <v>20</v>
      </c>
      <c r="I3" s="19"/>
      <c r="N3"/>
      <c r="O3"/>
      <c r="P3"/>
    </row>
    <row r="4" spans="1:16" ht="15.75" x14ac:dyDescent="0.25">
      <c r="A4" s="2">
        <v>44214</v>
      </c>
      <c r="B4" s="1" t="s">
        <v>9</v>
      </c>
      <c r="C4" s="1" t="s">
        <v>10</v>
      </c>
      <c r="D4">
        <v>1000</v>
      </c>
      <c r="E4">
        <v>5</v>
      </c>
      <c r="F4" s="1" t="s">
        <v>20</v>
      </c>
      <c r="I4" s="19"/>
      <c r="N4"/>
      <c r="O4"/>
      <c r="P4"/>
    </row>
    <row r="5" spans="1:16" ht="15.75" x14ac:dyDescent="0.25">
      <c r="A5" s="2">
        <v>44214</v>
      </c>
      <c r="B5" s="1" t="s">
        <v>13</v>
      </c>
      <c r="C5" s="1" t="s">
        <v>14</v>
      </c>
      <c r="D5">
        <v>123456789</v>
      </c>
      <c r="E5">
        <v>36</v>
      </c>
      <c r="F5" s="1" t="s">
        <v>20</v>
      </c>
      <c r="I5" s="19"/>
      <c r="N5"/>
      <c r="O5"/>
      <c r="P5"/>
    </row>
    <row r="6" spans="1:16" ht="15.75" x14ac:dyDescent="0.25">
      <c r="A6" s="2">
        <v>44215</v>
      </c>
      <c r="B6" s="1" t="s">
        <v>13</v>
      </c>
      <c r="C6" s="1" t="s">
        <v>14</v>
      </c>
      <c r="D6">
        <v>123456789</v>
      </c>
      <c r="E6">
        <v>38</v>
      </c>
      <c r="F6" s="1" t="s">
        <v>20</v>
      </c>
      <c r="I6" s="19"/>
      <c r="N6"/>
      <c r="O6"/>
      <c r="P6"/>
    </row>
    <row r="7" spans="1:16" ht="15.75" x14ac:dyDescent="0.25">
      <c r="A7" s="2">
        <v>44217</v>
      </c>
      <c r="B7" s="1" t="s">
        <v>9</v>
      </c>
      <c r="C7" s="1" t="s">
        <v>10</v>
      </c>
      <c r="D7">
        <v>1000</v>
      </c>
      <c r="E7">
        <v>8</v>
      </c>
      <c r="F7" s="1" t="s">
        <v>20</v>
      </c>
      <c r="I7" s="19"/>
      <c r="N7"/>
      <c r="O7"/>
      <c r="P7"/>
    </row>
    <row r="8" spans="1:16" ht="15.75" x14ac:dyDescent="0.25">
      <c r="A8" s="2">
        <v>44218</v>
      </c>
      <c r="B8" s="1" t="s">
        <v>9</v>
      </c>
      <c r="C8" s="1" t="s">
        <v>10</v>
      </c>
      <c r="D8">
        <v>1000</v>
      </c>
      <c r="E8">
        <v>10</v>
      </c>
      <c r="F8" s="1" t="s">
        <v>20</v>
      </c>
      <c r="I8" s="19"/>
      <c r="N8"/>
      <c r="O8"/>
      <c r="P8"/>
    </row>
    <row r="9" spans="1:16" ht="15.75" x14ac:dyDescent="0.25">
      <c r="A9" s="2">
        <v>44219</v>
      </c>
      <c r="B9" s="1" t="s">
        <v>9</v>
      </c>
      <c r="C9" s="1" t="s">
        <v>10</v>
      </c>
      <c r="D9">
        <v>1000</v>
      </c>
      <c r="E9">
        <v>11</v>
      </c>
      <c r="F9" s="1" t="s">
        <v>20</v>
      </c>
      <c r="I9" s="19"/>
      <c r="N9"/>
      <c r="O9"/>
      <c r="P9"/>
    </row>
    <row r="10" spans="1:16" ht="15.75" x14ac:dyDescent="0.25">
      <c r="A10" s="2">
        <v>44221</v>
      </c>
      <c r="B10" s="1" t="s">
        <v>17</v>
      </c>
      <c r="C10" s="1" t="s">
        <v>18</v>
      </c>
      <c r="D10">
        <v>13</v>
      </c>
      <c r="E10">
        <v>6</v>
      </c>
      <c r="F10" s="1" t="s">
        <v>20</v>
      </c>
      <c r="I10" s="19"/>
      <c r="N10"/>
      <c r="O10"/>
      <c r="P10"/>
    </row>
    <row r="11" spans="1:16" ht="15.75" x14ac:dyDescent="0.25">
      <c r="A11" s="2">
        <v>44221</v>
      </c>
      <c r="B11" s="1" t="s">
        <v>9</v>
      </c>
      <c r="C11" s="1" t="s">
        <v>10</v>
      </c>
      <c r="D11">
        <v>1000</v>
      </c>
      <c r="E11">
        <v>15</v>
      </c>
      <c r="F11" s="1" t="s">
        <v>20</v>
      </c>
      <c r="I11" s="19"/>
      <c r="N11"/>
      <c r="O11"/>
      <c r="P11"/>
    </row>
    <row r="12" spans="1:16" ht="15.75" x14ac:dyDescent="0.25">
      <c r="A12" s="2">
        <v>44221</v>
      </c>
      <c r="B12" s="1" t="s">
        <v>11</v>
      </c>
      <c r="C12" s="1" t="s">
        <v>12</v>
      </c>
      <c r="D12">
        <v>2000</v>
      </c>
      <c r="E12">
        <v>2</v>
      </c>
      <c r="F12" s="1" t="s">
        <v>20</v>
      </c>
      <c r="I12" s="19"/>
      <c r="N12"/>
      <c r="O12"/>
      <c r="P12"/>
    </row>
    <row r="13" spans="1:16" ht="15.75" x14ac:dyDescent="0.25">
      <c r="A13" s="2">
        <v>44221</v>
      </c>
      <c r="B13" s="1" t="s">
        <v>15</v>
      </c>
      <c r="C13" s="1" t="s">
        <v>16</v>
      </c>
      <c r="D13">
        <v>12</v>
      </c>
      <c r="E13">
        <v>15</v>
      </c>
      <c r="F13" s="1" t="s">
        <v>20</v>
      </c>
      <c r="I13" s="19"/>
      <c r="N13"/>
      <c r="O13"/>
      <c r="P13"/>
    </row>
    <row r="14" spans="1:16" ht="15.75" x14ac:dyDescent="0.25">
      <c r="A14" s="2">
        <v>44221</v>
      </c>
      <c r="B14" s="1" t="s">
        <v>13</v>
      </c>
      <c r="C14" s="1" t="s">
        <v>14</v>
      </c>
      <c r="D14">
        <v>123456789</v>
      </c>
      <c r="E14">
        <v>22</v>
      </c>
      <c r="F14" s="1" t="s">
        <v>20</v>
      </c>
      <c r="I14" s="19"/>
      <c r="N14"/>
      <c r="O14"/>
      <c r="P14"/>
    </row>
    <row r="15" spans="1:16" ht="15.75" x14ac:dyDescent="0.25">
      <c r="A15" s="2">
        <v>44231</v>
      </c>
      <c r="B15" s="1" t="s">
        <v>11</v>
      </c>
      <c r="C15" s="1" t="s">
        <v>12</v>
      </c>
      <c r="D15">
        <v>2000</v>
      </c>
      <c r="E15">
        <v>5</v>
      </c>
      <c r="F15" s="1" t="s">
        <v>20</v>
      </c>
      <c r="I15" s="19"/>
      <c r="N15"/>
      <c r="O15"/>
      <c r="P15"/>
    </row>
    <row r="16" spans="1:16" ht="15.75" x14ac:dyDescent="0.25">
      <c r="A16" s="2">
        <v>44242</v>
      </c>
      <c r="B16" s="1" t="s">
        <v>13</v>
      </c>
      <c r="C16" s="1" t="s">
        <v>14</v>
      </c>
      <c r="D16">
        <v>123456789</v>
      </c>
      <c r="E16">
        <v>3</v>
      </c>
      <c r="F16" s="1" t="s">
        <v>20</v>
      </c>
      <c r="I16" s="19"/>
      <c r="N16"/>
      <c r="O16"/>
      <c r="P16"/>
    </row>
  </sheetData>
  <hyperlinks>
    <hyperlink ref="H2" location="TUIS!A1" display="TUIS" xr:uid="{151D5FE2-066F-46B6-8DF5-6230392D03DB}"/>
    <hyperlink ref="M2" r:id="rId1" display="https://exceljet.net/excel-functions/excel-sumifs-function" xr:uid="{8B44F0F6-F0B9-498A-831F-8038E0B07EBD}"/>
    <hyperlink ref="P2" r:id="rId2" display="https://exceljet.net/excel-functions/excel-sumifs-function" xr:uid="{9E464F5D-8866-4DDE-A703-068E8072FF71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643E4-F247-4988-8827-608AC941245F}">
  <sheetPr codeName="Sheet5"/>
  <dimension ref="A2:F7"/>
  <sheetViews>
    <sheetView workbookViewId="0">
      <selection activeCell="H23" sqref="H23"/>
    </sheetView>
  </sheetViews>
  <sheetFormatPr defaultRowHeight="15" x14ac:dyDescent="0.25"/>
  <cols>
    <col min="1" max="1" width="5.140625" bestFit="1" customWidth="1"/>
    <col min="2" max="2" width="8.42578125" bestFit="1" customWidth="1"/>
    <col min="3" max="3" width="11.140625" bestFit="1" customWidth="1"/>
    <col min="4" max="4" width="10" bestFit="1" customWidth="1"/>
  </cols>
  <sheetData>
    <row r="2" spans="1:6" ht="23.25" x14ac:dyDescent="0.35">
      <c r="A2" t="s">
        <v>59</v>
      </c>
      <c r="B2" t="s">
        <v>100</v>
      </c>
      <c r="C2" t="s">
        <v>102</v>
      </c>
      <c r="D2" t="s">
        <v>3</v>
      </c>
      <c r="F2" s="4" t="s">
        <v>82</v>
      </c>
    </row>
    <row r="3" spans="1:6" x14ac:dyDescent="0.25">
      <c r="A3">
        <v>1</v>
      </c>
      <c r="B3" s="1" t="s">
        <v>9</v>
      </c>
      <c r="C3" s="1" t="s">
        <v>10</v>
      </c>
      <c r="D3">
        <v>1000</v>
      </c>
    </row>
    <row r="4" spans="1:6" x14ac:dyDescent="0.25">
      <c r="A4">
        <v>2</v>
      </c>
      <c r="B4" s="1" t="s">
        <v>11</v>
      </c>
      <c r="C4" s="1" t="s">
        <v>12</v>
      </c>
      <c r="D4">
        <v>2000</v>
      </c>
    </row>
    <row r="5" spans="1:6" x14ac:dyDescent="0.25">
      <c r="A5">
        <v>3</v>
      </c>
      <c r="B5" s="1" t="s">
        <v>13</v>
      </c>
      <c r="C5" s="1" t="s">
        <v>14</v>
      </c>
      <c r="D5">
        <v>123456789</v>
      </c>
    </row>
    <row r="6" spans="1:6" x14ac:dyDescent="0.25">
      <c r="A6">
        <v>4</v>
      </c>
      <c r="B6" s="1" t="s">
        <v>15</v>
      </c>
      <c r="C6" s="1" t="s">
        <v>16</v>
      </c>
      <c r="D6">
        <v>12</v>
      </c>
    </row>
    <row r="7" spans="1:6" x14ac:dyDescent="0.25">
      <c r="A7">
        <v>5</v>
      </c>
      <c r="B7" s="1" t="s">
        <v>17</v>
      </c>
      <c r="C7" s="1" t="s">
        <v>18</v>
      </c>
      <c r="D7">
        <v>13</v>
      </c>
    </row>
  </sheetData>
  <hyperlinks>
    <hyperlink ref="F2" location="TUIS!A1" display="TUIS" xr:uid="{CF24C742-174F-4B5B-99A2-44C0202690C5}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61239-FDD5-446C-95DB-0E3514D00813}">
  <sheetPr codeName="Sheet6"/>
  <dimension ref="A2:J4"/>
  <sheetViews>
    <sheetView workbookViewId="0">
      <selection activeCell="F22" sqref="F22"/>
    </sheetView>
  </sheetViews>
  <sheetFormatPr defaultRowHeight="15" x14ac:dyDescent="0.25"/>
  <cols>
    <col min="1" max="1" width="5.140625" bestFit="1" customWidth="1"/>
    <col min="2" max="2" width="8.42578125" bestFit="1" customWidth="1"/>
    <col min="3" max="3" width="7.28515625" bestFit="1" customWidth="1"/>
    <col min="4" max="4" width="5.85546875" bestFit="1" customWidth="1"/>
    <col min="5" max="5" width="13.42578125" bestFit="1" customWidth="1"/>
    <col min="6" max="6" width="16.7109375" bestFit="1" customWidth="1"/>
    <col min="7" max="7" width="13.85546875" bestFit="1" customWidth="1"/>
    <col min="8" max="8" width="17.28515625" bestFit="1" customWidth="1"/>
    <col min="9" max="9" width="11.5703125" bestFit="1" customWidth="1"/>
    <col min="10" max="10" width="13.85546875" bestFit="1" customWidth="1"/>
    <col min="11" max="12" width="11.5703125" bestFit="1" customWidth="1"/>
    <col min="13" max="13" width="13.85546875" bestFit="1" customWidth="1"/>
    <col min="14" max="14" width="9.7109375" bestFit="1" customWidth="1"/>
  </cols>
  <sheetData>
    <row r="2" spans="1:10" ht="23.25" x14ac:dyDescent="0.35">
      <c r="A2" t="s">
        <v>59</v>
      </c>
      <c r="B2" t="s">
        <v>100</v>
      </c>
      <c r="C2" t="s">
        <v>102</v>
      </c>
      <c r="D2" t="s">
        <v>3</v>
      </c>
      <c r="E2" t="s">
        <v>105</v>
      </c>
      <c r="F2" t="s">
        <v>106</v>
      </c>
      <c r="G2" t="s">
        <v>104</v>
      </c>
      <c r="H2" t="s">
        <v>107</v>
      </c>
      <c r="J2" s="4" t="s">
        <v>82</v>
      </c>
    </row>
    <row r="3" spans="1:10" x14ac:dyDescent="0.25">
      <c r="A3">
        <v>1</v>
      </c>
      <c r="B3" s="1" t="s">
        <v>4</v>
      </c>
      <c r="C3" s="1" t="s">
        <v>5</v>
      </c>
      <c r="D3">
        <v>0</v>
      </c>
      <c r="E3" s="1"/>
      <c r="F3" s="1"/>
      <c r="G3" s="1" t="s">
        <v>6</v>
      </c>
      <c r="H3" s="1"/>
    </row>
    <row r="4" spans="1:10" x14ac:dyDescent="0.25">
      <c r="A4">
        <v>2</v>
      </c>
      <c r="B4" s="1" t="s">
        <v>4</v>
      </c>
      <c r="C4" s="1" t="s">
        <v>7</v>
      </c>
      <c r="D4">
        <v>0</v>
      </c>
      <c r="E4" s="1"/>
      <c r="F4" s="1"/>
      <c r="G4" s="1" t="s">
        <v>8</v>
      </c>
      <c r="H4" s="1"/>
    </row>
  </sheetData>
  <hyperlinks>
    <hyperlink ref="J2" location="TUIS!A1" display="TUIS" xr:uid="{1CC9E156-6409-479A-8F5F-99F91AA6FC9B}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8736-E3E6-46B7-B3B8-70DF8AED0FEA}">
  <sheetPr codeName="Sheet7"/>
  <dimension ref="A2:E6"/>
  <sheetViews>
    <sheetView workbookViewId="0">
      <selection activeCell="G25" sqref="G25"/>
    </sheetView>
  </sheetViews>
  <sheetFormatPr defaultRowHeight="15" x14ac:dyDescent="0.25"/>
  <cols>
    <col min="1" max="1" width="5.140625" bestFit="1" customWidth="1"/>
    <col min="2" max="2" width="10.5703125" bestFit="1" customWidth="1"/>
    <col min="3" max="3" width="11.5703125" bestFit="1" customWidth="1"/>
  </cols>
  <sheetData>
    <row r="2" spans="1:5" ht="23.25" x14ac:dyDescent="0.35">
      <c r="A2" t="s">
        <v>59</v>
      </c>
      <c r="B2" t="s">
        <v>100</v>
      </c>
      <c r="C2" t="s">
        <v>101</v>
      </c>
      <c r="E2" s="4" t="s">
        <v>82</v>
      </c>
    </row>
    <row r="3" spans="1:5" x14ac:dyDescent="0.25">
      <c r="A3">
        <v>1</v>
      </c>
      <c r="B3" s="1" t="s">
        <v>65</v>
      </c>
      <c r="C3" s="1"/>
    </row>
    <row r="4" spans="1:5" x14ac:dyDescent="0.25">
      <c r="A4">
        <v>2</v>
      </c>
      <c r="B4" s="1" t="s">
        <v>66</v>
      </c>
      <c r="C4" s="1"/>
    </row>
    <row r="5" spans="1:5" x14ac:dyDescent="0.25">
      <c r="A5">
        <v>3</v>
      </c>
      <c r="B5" s="1" t="s">
        <v>67</v>
      </c>
      <c r="C5" s="1"/>
    </row>
    <row r="6" spans="1:5" x14ac:dyDescent="0.25">
      <c r="A6">
        <v>4</v>
      </c>
      <c r="B6" s="1" t="s">
        <v>68</v>
      </c>
      <c r="C6" s="1"/>
    </row>
  </sheetData>
  <hyperlinks>
    <hyperlink ref="E2" location="TUIS!A1" display="TUIS" xr:uid="{49423921-5101-427C-BC6A-6096365CC16C}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1583F-2387-472A-97C3-DF87C6A5B6E2}">
  <sheetPr codeName="Sheet8"/>
  <dimension ref="A2:E5"/>
  <sheetViews>
    <sheetView workbookViewId="0">
      <selection activeCell="I32" sqref="I32"/>
    </sheetView>
  </sheetViews>
  <sheetFormatPr defaultRowHeight="15" x14ac:dyDescent="0.25"/>
  <cols>
    <col min="1" max="1" width="5.140625" bestFit="1" customWidth="1"/>
    <col min="2" max="2" width="10.140625" bestFit="1" customWidth="1"/>
    <col min="3" max="3" width="11.5703125" bestFit="1" customWidth="1"/>
  </cols>
  <sheetData>
    <row r="2" spans="1:5" ht="23.25" x14ac:dyDescent="0.35">
      <c r="A2" t="s">
        <v>59</v>
      </c>
      <c r="B2" t="s">
        <v>100</v>
      </c>
      <c r="C2" t="s">
        <v>101</v>
      </c>
      <c r="E2" s="4" t="s">
        <v>82</v>
      </c>
    </row>
    <row r="3" spans="1:5" x14ac:dyDescent="0.25">
      <c r="A3">
        <v>5</v>
      </c>
      <c r="B3" s="1" t="s">
        <v>95</v>
      </c>
      <c r="C3" s="1" t="s">
        <v>69</v>
      </c>
    </row>
    <row r="4" spans="1:5" x14ac:dyDescent="0.25">
      <c r="A4">
        <v>4</v>
      </c>
      <c r="B4" s="1" t="s">
        <v>70</v>
      </c>
      <c r="C4" s="1" t="s">
        <v>71</v>
      </c>
    </row>
    <row r="5" spans="1:5" x14ac:dyDescent="0.25">
      <c r="A5">
        <v>3</v>
      </c>
      <c r="B5" s="1" t="s">
        <v>72</v>
      </c>
      <c r="C5" s="1" t="s">
        <v>73</v>
      </c>
    </row>
  </sheetData>
  <hyperlinks>
    <hyperlink ref="E2" location="TUIS!A1" display="TUIS" xr:uid="{B7F0028E-D1C1-4839-9ACE-E76BA8CE5F72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24EE6-5D1F-4C69-B8F8-E6879E73DAA4}">
  <sheetPr codeName="Sheet9"/>
  <dimension ref="A2:E6"/>
  <sheetViews>
    <sheetView workbookViewId="0">
      <selection activeCell="I28" sqref="I28"/>
    </sheetView>
  </sheetViews>
  <sheetFormatPr defaultRowHeight="15" x14ac:dyDescent="0.25"/>
  <cols>
    <col min="1" max="1" width="5.140625" bestFit="1" customWidth="1"/>
    <col min="2" max="2" width="10.140625" bestFit="1" customWidth="1"/>
    <col min="3" max="3" width="11.5703125" bestFit="1" customWidth="1"/>
  </cols>
  <sheetData>
    <row r="2" spans="1:5" ht="23.25" x14ac:dyDescent="0.35">
      <c r="A2" t="s">
        <v>59</v>
      </c>
      <c r="B2" t="s">
        <v>100</v>
      </c>
      <c r="C2" t="s">
        <v>101</v>
      </c>
      <c r="E2" s="4" t="s">
        <v>82</v>
      </c>
    </row>
    <row r="3" spans="1:5" x14ac:dyDescent="0.25">
      <c r="A3">
        <v>1</v>
      </c>
      <c r="B3" s="1" t="s">
        <v>35</v>
      </c>
      <c r="C3" s="1"/>
    </row>
    <row r="4" spans="1:5" x14ac:dyDescent="0.25">
      <c r="A4">
        <v>2</v>
      </c>
      <c r="B4" s="1" t="s">
        <v>20</v>
      </c>
      <c r="C4" s="1"/>
    </row>
    <row r="5" spans="1:5" x14ac:dyDescent="0.25">
      <c r="A5">
        <v>3</v>
      </c>
      <c r="B5" s="1" t="s">
        <v>45</v>
      </c>
      <c r="C5" s="1"/>
    </row>
    <row r="6" spans="1:5" x14ac:dyDescent="0.25">
      <c r="A6">
        <v>4</v>
      </c>
      <c r="B6" s="1" t="s">
        <v>42</v>
      </c>
      <c r="C6" s="1"/>
    </row>
  </sheetData>
  <hyperlinks>
    <hyperlink ref="E2" location="TUIS!A1" display="TUIS" xr:uid="{030E4170-9C1B-48EB-83D9-E4ECDC5912DE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E18D0-6F2C-48B0-AD37-21041C80F7B5}">
  <sheetPr codeName="Sheet10"/>
  <dimension ref="A2:F7"/>
  <sheetViews>
    <sheetView workbookViewId="0">
      <selection activeCell="K31" sqref="K31"/>
    </sheetView>
  </sheetViews>
  <sheetFormatPr defaultRowHeight="15" x14ac:dyDescent="0.25"/>
  <cols>
    <col min="1" max="1" width="5.140625" bestFit="1" customWidth="1"/>
    <col min="2" max="2" width="9.85546875" bestFit="1" customWidth="1"/>
    <col min="3" max="3" width="11.5703125" bestFit="1" customWidth="1"/>
    <col min="4" max="4" width="10.140625" bestFit="1" customWidth="1"/>
    <col min="5" max="5" width="10.5703125" bestFit="1" customWidth="1"/>
    <col min="6" max="6" width="10.140625" bestFit="1" customWidth="1"/>
  </cols>
  <sheetData>
    <row r="2" spans="1:6" ht="23.25" x14ac:dyDescent="0.35">
      <c r="A2" t="s">
        <v>59</v>
      </c>
      <c r="B2" t="s">
        <v>100</v>
      </c>
      <c r="C2" t="s">
        <v>101</v>
      </c>
      <c r="D2" t="s">
        <v>108</v>
      </c>
      <c r="F2" s="4" t="s">
        <v>82</v>
      </c>
    </row>
    <row r="3" spans="1:6" x14ac:dyDescent="0.25">
      <c r="A3">
        <v>5</v>
      </c>
      <c r="B3" s="1" t="s">
        <v>74</v>
      </c>
      <c r="C3" s="1" t="s">
        <v>75</v>
      </c>
      <c r="D3">
        <v>5</v>
      </c>
    </row>
    <row r="4" spans="1:6" x14ac:dyDescent="0.25">
      <c r="A4">
        <v>4</v>
      </c>
      <c r="B4" s="1" t="s">
        <v>58</v>
      </c>
      <c r="C4" s="1" t="s">
        <v>76</v>
      </c>
      <c r="D4">
        <v>5</v>
      </c>
    </row>
    <row r="5" spans="1:6" x14ac:dyDescent="0.25">
      <c r="A5">
        <v>6</v>
      </c>
      <c r="B5" s="1" t="s">
        <v>74</v>
      </c>
      <c r="C5" s="1" t="s">
        <v>77</v>
      </c>
      <c r="D5">
        <v>5</v>
      </c>
    </row>
    <row r="6" spans="1:6" x14ac:dyDescent="0.25">
      <c r="A6">
        <v>7</v>
      </c>
      <c r="B6" s="1" t="s">
        <v>78</v>
      </c>
      <c r="C6" s="1" t="s">
        <v>79</v>
      </c>
      <c r="D6">
        <v>5</v>
      </c>
    </row>
    <row r="7" spans="1:6" x14ac:dyDescent="0.25">
      <c r="A7">
        <v>8</v>
      </c>
      <c r="B7" s="1" t="s">
        <v>80</v>
      </c>
      <c r="C7" s="1" t="s">
        <v>81</v>
      </c>
      <c r="D7">
        <v>5</v>
      </c>
    </row>
  </sheetData>
  <hyperlinks>
    <hyperlink ref="F2" location="TUIS!A1" display="TUIS" xr:uid="{11E11914-D888-47D1-8EAA-841A0D5CD45A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852F5-A3AC-4733-B8AE-6532967B3099}">
  <sheetPr codeName="Sheet11"/>
  <dimension ref="A2:E9"/>
  <sheetViews>
    <sheetView workbookViewId="0">
      <selection activeCell="H26" sqref="H26"/>
    </sheetView>
  </sheetViews>
  <sheetFormatPr defaultRowHeight="15" x14ac:dyDescent="0.25"/>
  <cols>
    <col min="1" max="1" width="5.140625" bestFit="1" customWidth="1"/>
    <col min="2" max="2" width="13.85546875" bestFit="1" customWidth="1"/>
    <col min="3" max="3" width="13.42578125" bestFit="1" customWidth="1"/>
  </cols>
  <sheetData>
    <row r="2" spans="1:5" ht="23.25" x14ac:dyDescent="0.35">
      <c r="A2" t="s">
        <v>59</v>
      </c>
      <c r="B2" t="s">
        <v>100</v>
      </c>
      <c r="C2" t="s">
        <v>109</v>
      </c>
      <c r="E2" s="4" t="s">
        <v>82</v>
      </c>
    </row>
    <row r="3" spans="1:5" x14ac:dyDescent="0.25">
      <c r="A3">
        <v>1</v>
      </c>
      <c r="B3" s="1" t="s">
        <v>60</v>
      </c>
      <c r="C3" s="1"/>
    </row>
    <row r="4" spans="1:5" x14ac:dyDescent="0.25">
      <c r="A4">
        <v>2</v>
      </c>
      <c r="B4" s="1" t="s">
        <v>61</v>
      </c>
      <c r="C4" s="1"/>
    </row>
    <row r="5" spans="1:5" x14ac:dyDescent="0.25">
      <c r="A5">
        <v>3</v>
      </c>
      <c r="B5" s="1" t="s">
        <v>62</v>
      </c>
      <c r="C5" s="1"/>
    </row>
    <row r="6" spans="1:5" x14ac:dyDescent="0.25">
      <c r="A6">
        <v>4</v>
      </c>
      <c r="B6" s="1" t="s">
        <v>8</v>
      </c>
      <c r="C6" s="1"/>
    </row>
    <row r="7" spans="1:5" x14ac:dyDescent="0.25">
      <c r="A7">
        <v>5</v>
      </c>
      <c r="B7" s="1" t="s">
        <v>63</v>
      </c>
      <c r="C7" s="1"/>
    </row>
    <row r="8" spans="1:5" x14ac:dyDescent="0.25">
      <c r="A8">
        <v>6</v>
      </c>
      <c r="B8" s="1" t="s">
        <v>64</v>
      </c>
      <c r="C8" s="1"/>
    </row>
    <row r="9" spans="1:5" x14ac:dyDescent="0.25">
      <c r="A9">
        <v>7</v>
      </c>
      <c r="B9" s="1" t="s">
        <v>6</v>
      </c>
      <c r="C9" s="1"/>
    </row>
  </sheetData>
  <hyperlinks>
    <hyperlink ref="E2" location="TUIS!A1" display="TUIS" xr:uid="{937A193A-7F97-4D9E-8B31-A3B0C3DA50FD}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7D4AFA-31C2-4EFC-9814-1EF77167083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TUIS</vt:lpstr>
      <vt:lpstr>Tydkaarte</vt:lpstr>
      <vt:lpstr>Tyd Per Taak</vt:lpstr>
      <vt:lpstr>Kratte</vt:lpstr>
      <vt:lpstr>Werkers</vt:lpstr>
      <vt:lpstr>Gebruikers</vt:lpstr>
      <vt:lpstr>Gewasse</vt:lpstr>
      <vt:lpstr>Plase</vt:lpstr>
      <vt:lpstr>Take</vt:lpstr>
      <vt:lpstr>Spilpunte</vt:lpstr>
      <vt:lpstr>Toegang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 Fourie</dc:creator>
  <cp:lastModifiedBy>Jako Fourie</cp:lastModifiedBy>
  <dcterms:created xsi:type="dcterms:W3CDTF">2021-02-05T09:28:33Z</dcterms:created>
  <dcterms:modified xsi:type="dcterms:W3CDTF">2021-02-16T11:34:12Z</dcterms:modified>
</cp:coreProperties>
</file>